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esture_project\exports\"/>
    </mc:Choice>
  </mc:AlternateContent>
  <xr:revisionPtr revIDLastSave="0" documentId="13_ncr:1_{55F000B7-87E9-46FF-9531-386B1129AA8B}" xr6:coauthVersionLast="47" xr6:coauthVersionMax="47" xr10:uidLastSave="{00000000-0000-0000-0000-000000000000}"/>
  <bookViews>
    <workbookView xWindow="-98" yWindow="-98" windowWidth="21795" windowHeight="13875" firstSheet="1" activeTab="6" xr2:uid="{00000000-000D-0000-FFFF-FFFF00000000}"/>
  </bookViews>
  <sheets>
    <sheet name="README" sheetId="1" r:id="rId1"/>
    <sheet name="Inputs" sheetId="2" r:id="rId2"/>
    <sheet name="Codebook" sheetId="3" r:id="rId3"/>
    <sheet name="GestureEvents" sheetId="4" r:id="rId4"/>
    <sheet name="StructuralPoints" sheetId="5" r:id="rId5"/>
    <sheet name="Alignment" sheetId="6" r:id="rId6"/>
    <sheet name="Methods" sheetId="8" r:id="rId7"/>
    <sheet name="Robustness" sheetId="9" r:id="rId8"/>
    <sheet name="Macro_codes" sheetId="10" r:id="rId9"/>
    <sheet name="Micro_codes" sheetId="11" r:id="rId10"/>
    <sheet name="KEEP_rules" sheetId="12" r:id="rId11"/>
    <sheet name="Summary" sheetId="13" r:id="rId12"/>
    <sheet name="DebugMissing" sheetId="14" r:id="rId13"/>
    <sheet name="WristTracks" sheetId="15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1" i="6" l="1"/>
  <c r="N21" i="6"/>
  <c r="M21" i="6"/>
  <c r="K21" i="6"/>
  <c r="J21" i="6"/>
  <c r="I21" i="6"/>
  <c r="H21" i="6"/>
  <c r="G21" i="6"/>
  <c r="F21" i="6"/>
  <c r="E21" i="6"/>
  <c r="C21" i="6"/>
  <c r="O20" i="6"/>
  <c r="N20" i="6"/>
  <c r="M20" i="6"/>
  <c r="K20" i="6"/>
  <c r="J20" i="6"/>
  <c r="I20" i="6"/>
  <c r="H20" i="6"/>
  <c r="G20" i="6"/>
  <c r="F20" i="6"/>
  <c r="E20" i="6"/>
  <c r="C20" i="6"/>
  <c r="O19" i="6"/>
  <c r="N19" i="6"/>
  <c r="M19" i="6"/>
  <c r="K19" i="6"/>
  <c r="J19" i="6"/>
  <c r="I19" i="6"/>
  <c r="H19" i="6"/>
  <c r="G19" i="6"/>
  <c r="F19" i="6"/>
  <c r="E19" i="6"/>
  <c r="C19" i="6"/>
  <c r="O18" i="6"/>
  <c r="N18" i="6"/>
  <c r="M18" i="6"/>
  <c r="K18" i="6"/>
  <c r="J18" i="6"/>
  <c r="I18" i="6"/>
  <c r="H18" i="6"/>
  <c r="G18" i="6"/>
  <c r="F18" i="6"/>
  <c r="E18" i="6"/>
  <c r="C18" i="6"/>
  <c r="O17" i="6"/>
  <c r="N17" i="6"/>
  <c r="M17" i="6"/>
  <c r="K17" i="6"/>
  <c r="J17" i="6"/>
  <c r="I17" i="6"/>
  <c r="H17" i="6"/>
  <c r="G17" i="6"/>
  <c r="F17" i="6"/>
  <c r="E17" i="6"/>
  <c r="C17" i="6"/>
  <c r="O16" i="6"/>
  <c r="N16" i="6"/>
  <c r="M16" i="6"/>
  <c r="K16" i="6"/>
  <c r="J16" i="6"/>
  <c r="I16" i="6"/>
  <c r="H16" i="6"/>
  <c r="G16" i="6"/>
  <c r="F16" i="6"/>
  <c r="E16" i="6"/>
  <c r="C16" i="6"/>
  <c r="O15" i="6"/>
  <c r="N15" i="6"/>
  <c r="M15" i="6"/>
  <c r="K15" i="6"/>
  <c r="J15" i="6"/>
  <c r="I15" i="6"/>
  <c r="H15" i="6"/>
  <c r="G15" i="6"/>
  <c r="F15" i="6"/>
  <c r="E15" i="6"/>
  <c r="C15" i="6"/>
  <c r="O14" i="6"/>
  <c r="N14" i="6"/>
  <c r="M14" i="6"/>
  <c r="K14" i="6"/>
  <c r="J14" i="6"/>
  <c r="I14" i="6"/>
  <c r="H14" i="6"/>
  <c r="G14" i="6"/>
  <c r="F14" i="6"/>
  <c r="E14" i="6"/>
  <c r="C14" i="6"/>
  <c r="O13" i="6"/>
  <c r="N13" i="6"/>
  <c r="M13" i="6"/>
  <c r="K13" i="6"/>
  <c r="J13" i="6"/>
  <c r="I13" i="6"/>
  <c r="H13" i="6"/>
  <c r="G13" i="6"/>
  <c r="F13" i="6"/>
  <c r="E13" i="6"/>
  <c r="C13" i="6"/>
  <c r="O12" i="6"/>
  <c r="N12" i="6"/>
  <c r="M12" i="6"/>
  <c r="K12" i="6"/>
  <c r="J12" i="6"/>
  <c r="I12" i="6"/>
  <c r="H12" i="6"/>
  <c r="G12" i="6"/>
  <c r="F12" i="6"/>
  <c r="E12" i="6"/>
  <c r="C12" i="6"/>
  <c r="O11" i="6"/>
  <c r="N11" i="6"/>
  <c r="M11" i="6"/>
  <c r="K11" i="6"/>
  <c r="J11" i="6"/>
  <c r="I11" i="6"/>
  <c r="H11" i="6"/>
  <c r="G11" i="6"/>
  <c r="F11" i="6"/>
  <c r="E11" i="6"/>
  <c r="C11" i="6"/>
  <c r="O10" i="6"/>
  <c r="N10" i="6"/>
  <c r="M10" i="6"/>
  <c r="K10" i="6"/>
  <c r="J10" i="6"/>
  <c r="I10" i="6"/>
  <c r="H10" i="6"/>
  <c r="G10" i="6"/>
  <c r="F10" i="6"/>
  <c r="E10" i="6"/>
  <c r="C10" i="6"/>
  <c r="O9" i="6"/>
  <c r="N9" i="6"/>
  <c r="M9" i="6"/>
  <c r="K9" i="6"/>
  <c r="J9" i="6"/>
  <c r="I9" i="6"/>
  <c r="H9" i="6"/>
  <c r="G9" i="6"/>
  <c r="F9" i="6"/>
  <c r="E9" i="6"/>
  <c r="C9" i="6"/>
  <c r="O8" i="6"/>
  <c r="N8" i="6"/>
  <c r="M8" i="6"/>
  <c r="K8" i="6"/>
  <c r="J8" i="6"/>
  <c r="I8" i="6"/>
  <c r="H8" i="6"/>
  <c r="G8" i="6"/>
  <c r="F8" i="6"/>
  <c r="E8" i="6"/>
  <c r="C8" i="6"/>
  <c r="O7" i="6"/>
  <c r="N7" i="6"/>
  <c r="M7" i="6"/>
  <c r="K7" i="6"/>
  <c r="J7" i="6"/>
  <c r="I7" i="6"/>
  <c r="H7" i="6"/>
  <c r="G7" i="6"/>
  <c r="F7" i="6"/>
  <c r="E7" i="6"/>
  <c r="C7" i="6"/>
  <c r="O6" i="6"/>
  <c r="N6" i="6"/>
  <c r="M6" i="6"/>
  <c r="K6" i="6"/>
  <c r="J6" i="6"/>
  <c r="I6" i="6"/>
  <c r="H6" i="6"/>
  <c r="G6" i="6"/>
  <c r="F6" i="6"/>
  <c r="E6" i="6"/>
  <c r="C6" i="6"/>
  <c r="O5" i="6"/>
  <c r="N5" i="6"/>
  <c r="M5" i="6"/>
  <c r="K5" i="6"/>
  <c r="J5" i="6"/>
  <c r="I5" i="6"/>
  <c r="H5" i="6"/>
  <c r="G5" i="6"/>
  <c r="F5" i="6"/>
  <c r="E5" i="6"/>
  <c r="C5" i="6"/>
  <c r="O4" i="6"/>
  <c r="N4" i="6"/>
  <c r="M4" i="6"/>
  <c r="K4" i="6"/>
  <c r="J4" i="6"/>
  <c r="I4" i="6"/>
  <c r="H4" i="6"/>
  <c r="G4" i="6"/>
  <c r="F4" i="6"/>
  <c r="E4" i="6"/>
  <c r="C4" i="6"/>
  <c r="O3" i="6"/>
  <c r="N3" i="6"/>
  <c r="M3" i="6"/>
  <c r="K3" i="6"/>
  <c r="J3" i="6"/>
  <c r="I3" i="6"/>
  <c r="H3" i="6"/>
  <c r="G3" i="6"/>
  <c r="F3" i="6"/>
  <c r="E3" i="6"/>
  <c r="C3" i="6"/>
  <c r="O2" i="6"/>
  <c r="N2" i="6"/>
  <c r="M2" i="6"/>
  <c r="K2" i="6"/>
  <c r="J2" i="6"/>
  <c r="I2" i="6"/>
  <c r="H2" i="6"/>
  <c r="G2" i="6"/>
  <c r="F2" i="6"/>
  <c r="E2" i="6"/>
  <c r="C2" i="6"/>
</calcChain>
</file>

<file path=xl/sharedStrings.xml><?xml version="1.0" encoding="utf-8"?>
<sst xmlns="http://schemas.openxmlformats.org/spreadsheetml/2006/main" count="304" uniqueCount="196">
  <si>
    <t>目的 / Purpose</t>
  </si>
  <si>
    <t>Next steps / 下一步:</t>
  </si>
  <si>
    <t>1) Use Inputs!B3 (fps) and Inputs!B4 (Δt_seconds) in Alignment formulas (no Named Ranges required).</t>
  </si>
  <si>
    <t>2) Robustness: evaluate multiple Δt windows (0.5 / 1.0 / 1.5) to check sensitivity.</t>
  </si>
  <si>
    <t>3) Methods: export Inputs + CountsFlow into one table for Methods/QC reporting.</t>
  </si>
  <si>
    <t>Parameter</t>
  </si>
  <si>
    <t>Value</t>
  </si>
  <si>
    <t>Note</t>
  </si>
  <si>
    <t>Section</t>
  </si>
  <si>
    <t>Code</t>
  </si>
  <si>
    <t>CN definition</t>
  </si>
  <si>
    <t>EN definition</t>
  </si>
  <si>
    <t>KEEP relevance</t>
  </si>
  <si>
    <t>EventID</t>
  </si>
  <si>
    <t>run</t>
  </si>
  <si>
    <t>start_frame</t>
  </si>
  <si>
    <t>end_frame</t>
  </si>
  <si>
    <t>duration_frames</t>
  </si>
  <si>
    <t>start_sec</t>
  </si>
  <si>
    <t>end_sec</t>
  </si>
  <si>
    <t>duration_sec</t>
  </si>
  <si>
    <t>mean_speed</t>
  </si>
  <si>
    <t>max_speed</t>
  </si>
  <si>
    <t>q</t>
  </si>
  <si>
    <t>threshold</t>
  </si>
  <si>
    <t>peak_sec_proxy</t>
  </si>
  <si>
    <t>PointID</t>
  </si>
  <si>
    <t>time_s</t>
  </si>
  <si>
    <t>time_start</t>
  </si>
  <si>
    <t>time_end</t>
  </si>
  <si>
    <t>teacher_ratio</t>
  </si>
  <si>
    <t>speed</t>
  </si>
  <si>
    <t>Transcript_cue</t>
  </si>
  <si>
    <t>Macro</t>
  </si>
  <si>
    <t>Micro_codes</t>
  </si>
  <si>
    <t>Confidence_1to3</t>
  </si>
  <si>
    <t>Notes</t>
  </si>
  <si>
    <t>t_struct_sec</t>
  </si>
  <si>
    <t>Δt_sec</t>
  </si>
  <si>
    <t>EventID (manual)</t>
  </si>
  <si>
    <t>Event_peak_sec</t>
  </si>
  <si>
    <t>|lag| (sec)</t>
  </si>
  <si>
    <t>Event_start_sec</t>
  </si>
  <si>
    <t>Event_end_sec</t>
  </si>
  <si>
    <t>Event_max_speed</t>
  </si>
  <si>
    <t>Event_duration_sec</t>
  </si>
  <si>
    <t>Aligned_within_Δt?</t>
  </si>
  <si>
    <t>Teacher_ratio_in_clip</t>
  </si>
  <si>
    <t>Confidence</t>
  </si>
  <si>
    <t>KEEP/DROP</t>
  </si>
  <si>
    <t xml:space="preserve">Reason </t>
  </si>
  <si>
    <t>Item</t>
  </si>
  <si>
    <t>Inputs</t>
  </si>
  <si>
    <t>TAG</t>
  </si>
  <si>
    <t>auto from R</t>
  </si>
  <si>
    <t>fps</t>
  </si>
  <si>
    <t>Δt_seconds</t>
  </si>
  <si>
    <t>CountsFlow</t>
  </si>
  <si>
    <t>total_frames</t>
  </si>
  <si>
    <t>auto from TeacherQC</t>
  </si>
  <si>
    <t>teacher_present_frames</t>
  </si>
  <si>
    <t>conf_ok_frames</t>
  </si>
  <si>
    <t>shoulders_ok_frames</t>
  </si>
  <si>
    <t>n_candidates</t>
  </si>
  <si>
    <t>n_watch_final</t>
  </si>
  <si>
    <t>n_events</t>
  </si>
  <si>
    <t>auto from GestureEvents</t>
  </si>
  <si>
    <t>events_per_min</t>
  </si>
  <si>
    <t>auto from Summary</t>
  </si>
  <si>
    <t>mean_amplitude</t>
  </si>
  <si>
    <t>mean_duration</t>
  </si>
  <si>
    <t>dt_seconds</t>
  </si>
  <si>
    <t>narrow window (stricter alignment)</t>
  </si>
  <si>
    <t>medium window</t>
  </si>
  <si>
    <t>default / wider window</t>
  </si>
  <si>
    <t>Macro_ID</t>
  </si>
  <si>
    <t>Macro Code</t>
  </si>
  <si>
    <t>Micro Code</t>
  </si>
  <si>
    <t>Layer</t>
  </si>
  <si>
    <t>Role</t>
  </si>
  <si>
    <t>sd_amplitude</t>
  </si>
  <si>
    <t>sd_duration</t>
  </si>
  <si>
    <t>win_id</t>
  </si>
  <si>
    <t>t_start</t>
  </si>
  <si>
    <t>t_end</t>
  </si>
  <si>
    <t>n_frames</t>
  </si>
  <si>
    <t>na_rate</t>
  </si>
  <si>
    <t>teacher_off_rate</t>
  </si>
  <si>
    <t>above_thr_rate</t>
  </si>
  <si>
    <t>max_run_above</t>
  </si>
  <si>
    <t>missing_reason</t>
  </si>
  <si>
    <t>has_event</t>
  </si>
  <si>
    <t>frame</t>
  </si>
  <si>
    <t>t_sec</t>
  </si>
  <si>
    <t>teacher_id</t>
  </si>
  <si>
    <t>conf_det</t>
  </si>
  <si>
    <t>x1</t>
  </si>
  <si>
    <t>y1</t>
  </si>
  <si>
    <t>x2</t>
  </si>
  <si>
    <t>y2</t>
  </si>
  <si>
    <t>ls_x</t>
  </si>
  <si>
    <t>ls_y</t>
  </si>
  <si>
    <t>ls_z</t>
  </si>
  <si>
    <t>ls_vis</t>
  </si>
  <si>
    <t>rs_x</t>
  </si>
  <si>
    <t>rs_y</t>
  </si>
  <si>
    <t>rs_z</t>
  </si>
  <si>
    <t>rs_vis</t>
  </si>
  <si>
    <t>le_x</t>
  </si>
  <si>
    <t>le_y</t>
  </si>
  <si>
    <t>le_z</t>
  </si>
  <si>
    <t>le_vis</t>
  </si>
  <si>
    <t>re_x</t>
  </si>
  <si>
    <t>re_y</t>
  </si>
  <si>
    <t>re_z</t>
  </si>
  <si>
    <t>re_vis</t>
  </si>
  <si>
    <t>lw_x</t>
  </si>
  <si>
    <t>lw_y</t>
  </si>
  <si>
    <t>lw_z</t>
  </si>
  <si>
    <t>lw_vis</t>
  </si>
  <si>
    <t>rw_x</t>
  </si>
  <si>
    <t>rw_y</t>
  </si>
  <si>
    <t>rw_z</t>
  </si>
  <si>
    <t>rw_vis</t>
  </si>
  <si>
    <t>MACRO</t>
  </si>
  <si>
    <t>NC</t>
  </si>
  <si>
    <t>新概念/新步骤引入</t>
  </si>
  <si>
    <t>New concept/new step begins a unit.</t>
  </si>
  <si>
    <t>often structural</t>
  </si>
  <si>
    <t>ELAB</t>
  </si>
  <si>
    <t>解释展开（例子/拆解/类比）</t>
  </si>
  <si>
    <t>Elaboration within unit.</t>
  </si>
  <si>
    <t>sometimes</t>
  </si>
  <si>
    <t>TRANS</t>
  </si>
  <si>
    <t>转场/换步骤/换表示</t>
  </si>
  <si>
    <t>Transition/boundary marker.</t>
  </si>
  <si>
    <t>EMPH</t>
  </si>
  <si>
    <t>强调/标重点/提醒易错</t>
  </si>
  <si>
    <t>Emphasis/highlight/pitfall notice.</t>
  </si>
  <si>
    <t>CLOSE</t>
  </si>
  <si>
    <t>收束/小结/回顾</t>
  </si>
  <si>
    <t>Closure/summary/recap.</t>
  </si>
  <si>
    <t>MICRO</t>
  </si>
  <si>
    <t>DEF</t>
  </si>
  <si>
    <t>定义/命名/符号引入</t>
  </si>
  <si>
    <t>Definition/naming/symbol intro.</t>
  </si>
  <si>
    <t>context-dependent</t>
  </si>
  <si>
    <t>EX</t>
  </si>
  <si>
    <t>举例/实例</t>
  </si>
  <si>
    <t>Example/instance.</t>
  </si>
  <si>
    <t>usually elaboration</t>
  </si>
  <si>
    <t>CONTR</t>
  </si>
  <si>
    <t>对比/区分/纠错</t>
  </si>
  <si>
    <t>Contrast/distinction/correction.</t>
  </si>
  <si>
    <t>can be structural</t>
  </si>
  <si>
    <t>WARN</t>
  </si>
  <si>
    <t>易错警示/注意事项</t>
  </si>
  <si>
    <t>Warning/pitfall notice.</t>
  </si>
  <si>
    <t>often KEEP if emphatic</t>
  </si>
  <si>
    <t>CHK</t>
  </si>
  <si>
    <t>检查理解/提问</t>
  </si>
  <si>
    <t>Checking understanding/questioning.</t>
  </si>
  <si>
    <t>META</t>
  </si>
  <si>
    <t>元话语（接下来/现在）</t>
  </si>
  <si>
    <t>Meta-discourse (next/now).</t>
  </si>
  <si>
    <t>evidence for TRANS/CLOSE</t>
  </si>
  <si>
    <t>KEEP</t>
  </si>
  <si>
    <t>Layer1</t>
  </si>
  <si>
    <t>结构必要：删掉会断裂/跳跃</t>
  </si>
  <si>
    <t>Discourse necessity: removing breaks coherence.</t>
  </si>
  <si>
    <t>required</t>
  </si>
  <si>
    <t>Layer2</t>
  </si>
  <si>
    <t>时间对齐：落在±Δt内</t>
  </si>
  <si>
    <t>Temporal alignment within ±Δt.</t>
  </si>
  <si>
    <t>Layer3</t>
  </si>
  <si>
    <t>显著性：高于局部基线/top quantile</t>
  </si>
  <si>
    <t>Salience above local baseline/top quantile.</t>
  </si>
  <si>
    <t>recommended</t>
  </si>
  <si>
    <t>New concept or new step begins a unit.</t>
  </si>
  <si>
    <t>Transition / boundary marker.</t>
  </si>
  <si>
    <t>Emphasis / highlight / pitfall notice.</t>
  </si>
  <si>
    <t>Closure / summary / recap.</t>
  </si>
  <si>
    <t>Definition / naming / symbol introduction.</t>
  </si>
  <si>
    <t>often used with NC</t>
  </si>
  <si>
    <t>Example / instance.</t>
  </si>
  <si>
    <t>Contrast / distinction / correction.</t>
  </si>
  <si>
    <t>can mark TRANS</t>
  </si>
  <si>
    <t>Warning / pitfall notice.</t>
  </si>
  <si>
    <t>KEEP if emphatic</t>
  </si>
  <si>
    <t>Checking understanding / questioning.</t>
  </si>
  <si>
    <t>supports TRANS/CLOSE</t>
  </si>
  <si>
    <t>结构必要：删除会断裂/跳跃</t>
  </si>
  <si>
    <t>m01</t>
  </si>
  <si>
    <t>video tag</t>
  </si>
  <si>
    <t>frames per second</t>
  </si>
  <si>
    <t>alignment half-window (try 0.5 / 1.0 / 1.5 for robustness)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</si>
</sst>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rgb="FFFFFFFF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BFBFBF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0" fillId="0" borderId="0" xfId="1" applyFont="1" applyAlignment="1">
      <alignment horizontal="left" vertical="top" wrapText="1"/>
    </xf>
    <xf numFmtId="0" fontId="1" fillId="2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horizontal="left" vertical="top" wrapText="1"/>
    </xf>
    <xf numFmtId="0" fontId="0" fillId="0" borderId="1" xfId="1" applyFont="1" applyBorder="1" applyAlignment="1">
      <alignment vertical="top"/>
    </xf>
    <xf numFmtId="0" fontId="4" fillId="2" borderId="1" xfId="1" applyFont="1" applyFill="1" applyBorder="1" applyAlignment="1">
      <alignment horizontal="center" vertical="center"/>
    </xf>
    <xf numFmtId="0" fontId="5" fillId="3" borderId="0" xfId="0" applyFont="1" applyFill="1"/>
    <xf numFmtId="0" fontId="0" fillId="0" borderId="0" xfId="0" applyAlignment="1">
      <alignment horizontal="left"/>
    </xf>
    <xf numFmtId="0" fontId="1" fillId="2" borderId="1" xfId="1" applyFont="1" applyFill="1" applyBorder="1" applyAlignment="1">
      <alignment horizontal="left" vertical="center"/>
    </xf>
    <xf numFmtId="0" fontId="0" fillId="0" borderId="1" xfId="1" applyFont="1" applyBorder="1" applyAlignment="1">
      <alignment horizontal="left" vertical="top"/>
    </xf>
    <xf numFmtId="0" fontId="5" fillId="3" borderId="0" xfId="0" applyFont="1" applyFill="1" applyAlignment="1">
      <alignment horizontal="left"/>
    </xf>
    <xf numFmtId="0" fontId="4" fillId="2" borderId="2" xfId="0" applyFont="1" applyFill="1" applyBorder="1" applyAlignment="1">
      <alignment horizontal="center" vertical="center"/>
    </xf>
    <xf numFmtId="0" fontId="5" fillId="3" borderId="0" xfId="1" applyFont="1" applyFill="1" applyAlignment="1">
      <alignment horizontal="left" vertical="top" wrapText="1"/>
    </xf>
    <xf numFmtId="0" fontId="6" fillId="3" borderId="2" xfId="0" applyFont="1" applyFill="1" applyBorder="1" applyAlignment="1">
      <alignment horizontal="center" vertical="center"/>
    </xf>
  </cellXfs>
  <cellStyles count="2">
    <cellStyle name="Normal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A2" sqref="A2"/>
    </sheetView>
  </sheetViews>
  <sheetFormatPr defaultRowHeight="14.25" x14ac:dyDescent="0.45"/>
  <cols>
    <col min="1" max="1" width="110" customWidth="1"/>
  </cols>
  <sheetData>
    <row r="1" spans="1:1" x14ac:dyDescent="0.45">
      <c r="A1" s="12" t="s">
        <v>0</v>
      </c>
    </row>
    <row r="2" spans="1:1" x14ac:dyDescent="0.45">
      <c r="A2" s="1" t="s">
        <v>1</v>
      </c>
    </row>
    <row r="3" spans="1:1" x14ac:dyDescent="0.45">
      <c r="A3" s="1" t="s">
        <v>2</v>
      </c>
    </row>
    <row r="4" spans="1:1" x14ac:dyDescent="0.45">
      <c r="A4" s="1" t="s">
        <v>3</v>
      </c>
    </row>
    <row r="5" spans="1:1" x14ac:dyDescent="0.45">
      <c r="A5" s="1" t="s">
        <v>4</v>
      </c>
    </row>
    <row r="6" spans="1:1" x14ac:dyDescent="0.45">
      <c r="A6" s="1"/>
    </row>
    <row r="7" spans="1:1" x14ac:dyDescent="0.45">
      <c r="A7" s="1"/>
    </row>
    <row r="8" spans="1:1" x14ac:dyDescent="0.45">
      <c r="A8" s="1"/>
    </row>
    <row r="9" spans="1:1" x14ac:dyDescent="0.45">
      <c r="A9" s="1"/>
    </row>
    <row r="10" spans="1:1" x14ac:dyDescent="0.45">
      <c r="A10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C1" sqref="C1"/>
    </sheetView>
  </sheetViews>
  <sheetFormatPr defaultRowHeight="14.25" x14ac:dyDescent="0.45"/>
  <cols>
    <col min="1" max="1" width="22" customWidth="1"/>
    <col min="2" max="2" width="18" customWidth="1"/>
    <col min="3" max="3" width="70" customWidth="1"/>
  </cols>
  <sheetData>
    <row r="1" spans="1:3" x14ac:dyDescent="0.45">
      <c r="A1" s="2" t="s">
        <v>5</v>
      </c>
      <c r="B1" s="2" t="s">
        <v>6</v>
      </c>
      <c r="C1" s="2" t="s">
        <v>7</v>
      </c>
    </row>
    <row r="2" spans="1:3" x14ac:dyDescent="0.45">
      <c r="A2" s="3" t="s">
        <v>53</v>
      </c>
      <c r="B2" s="3" t="s">
        <v>192</v>
      </c>
      <c r="C2" s="3" t="s">
        <v>193</v>
      </c>
    </row>
    <row r="3" spans="1:3" x14ac:dyDescent="0.45">
      <c r="A3" s="3" t="s">
        <v>55</v>
      </c>
      <c r="B3" s="3">
        <v>30</v>
      </c>
      <c r="C3" s="3" t="s">
        <v>194</v>
      </c>
    </row>
    <row r="4" spans="1:3" x14ac:dyDescent="0.45">
      <c r="A4" s="3" t="s">
        <v>56</v>
      </c>
      <c r="B4" s="3">
        <v>1.5</v>
      </c>
      <c r="C4" s="3" t="s">
        <v>195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selection activeCell="A2" sqref="A2:E15"/>
    </sheetView>
  </sheetViews>
  <sheetFormatPr defaultRowHeight="14.25" x14ac:dyDescent="0.45"/>
  <cols>
    <col min="1" max="2" width="10" customWidth="1"/>
    <col min="3" max="4" width="45" customWidth="1"/>
    <col min="5" max="5" width="22" customWidth="1"/>
  </cols>
  <sheetData>
    <row r="1" spans="1:5" x14ac:dyDescent="0.4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x14ac:dyDescent="0.45">
      <c r="A2" s="3" t="s">
        <v>124</v>
      </c>
      <c r="B2" s="3" t="s">
        <v>125</v>
      </c>
      <c r="C2" s="3" t="s">
        <v>126</v>
      </c>
      <c r="D2" s="3" t="s">
        <v>127</v>
      </c>
      <c r="E2" s="3" t="s">
        <v>128</v>
      </c>
    </row>
    <row r="3" spans="1:5" x14ac:dyDescent="0.45">
      <c r="A3" s="3" t="s">
        <v>124</v>
      </c>
      <c r="B3" s="3" t="s">
        <v>129</v>
      </c>
      <c r="C3" s="3" t="s">
        <v>130</v>
      </c>
      <c r="D3" s="3" t="s">
        <v>131</v>
      </c>
      <c r="E3" s="3" t="s">
        <v>132</v>
      </c>
    </row>
    <row r="4" spans="1:5" x14ac:dyDescent="0.45">
      <c r="A4" s="3" t="s">
        <v>124</v>
      </c>
      <c r="B4" s="3" t="s">
        <v>133</v>
      </c>
      <c r="C4" s="3" t="s">
        <v>134</v>
      </c>
      <c r="D4" s="3" t="s">
        <v>135</v>
      </c>
      <c r="E4" s="3" t="s">
        <v>128</v>
      </c>
    </row>
    <row r="5" spans="1:5" x14ac:dyDescent="0.45">
      <c r="A5" s="3" t="s">
        <v>124</v>
      </c>
      <c r="B5" s="3" t="s">
        <v>136</v>
      </c>
      <c r="C5" s="3" t="s">
        <v>137</v>
      </c>
      <c r="D5" s="3" t="s">
        <v>138</v>
      </c>
      <c r="E5" s="3" t="s">
        <v>128</v>
      </c>
    </row>
    <row r="6" spans="1:5" x14ac:dyDescent="0.45">
      <c r="A6" s="3" t="s">
        <v>124</v>
      </c>
      <c r="B6" s="3" t="s">
        <v>139</v>
      </c>
      <c r="C6" s="3" t="s">
        <v>140</v>
      </c>
      <c r="D6" s="3" t="s">
        <v>141</v>
      </c>
      <c r="E6" s="3" t="s">
        <v>128</v>
      </c>
    </row>
    <row r="7" spans="1:5" x14ac:dyDescent="0.45">
      <c r="A7" s="3" t="s">
        <v>142</v>
      </c>
      <c r="B7" s="3" t="s">
        <v>143</v>
      </c>
      <c r="C7" s="3" t="s">
        <v>144</v>
      </c>
      <c r="D7" s="3" t="s">
        <v>145</v>
      </c>
      <c r="E7" s="3" t="s">
        <v>146</v>
      </c>
    </row>
    <row r="8" spans="1:5" x14ac:dyDescent="0.45">
      <c r="A8" s="3" t="s">
        <v>142</v>
      </c>
      <c r="B8" s="3" t="s">
        <v>147</v>
      </c>
      <c r="C8" s="3" t="s">
        <v>148</v>
      </c>
      <c r="D8" s="3" t="s">
        <v>149</v>
      </c>
      <c r="E8" s="3" t="s">
        <v>150</v>
      </c>
    </row>
    <row r="9" spans="1:5" x14ac:dyDescent="0.45">
      <c r="A9" s="3" t="s">
        <v>142</v>
      </c>
      <c r="B9" s="3" t="s">
        <v>151</v>
      </c>
      <c r="C9" s="3" t="s">
        <v>152</v>
      </c>
      <c r="D9" s="3" t="s">
        <v>153</v>
      </c>
      <c r="E9" s="3" t="s">
        <v>154</v>
      </c>
    </row>
    <row r="10" spans="1:5" x14ac:dyDescent="0.45">
      <c r="A10" s="3" t="s">
        <v>142</v>
      </c>
      <c r="B10" s="3" t="s">
        <v>155</v>
      </c>
      <c r="C10" s="3" t="s">
        <v>156</v>
      </c>
      <c r="D10" s="3" t="s">
        <v>157</v>
      </c>
      <c r="E10" s="3" t="s">
        <v>158</v>
      </c>
    </row>
    <row r="11" spans="1:5" x14ac:dyDescent="0.45">
      <c r="A11" s="3" t="s">
        <v>142</v>
      </c>
      <c r="B11" s="3" t="s">
        <v>159</v>
      </c>
      <c r="C11" s="3" t="s">
        <v>160</v>
      </c>
      <c r="D11" s="3" t="s">
        <v>161</v>
      </c>
      <c r="E11" s="3" t="s">
        <v>146</v>
      </c>
    </row>
    <row r="12" spans="1:5" x14ac:dyDescent="0.45">
      <c r="A12" s="3" t="s">
        <v>142</v>
      </c>
      <c r="B12" s="3" t="s">
        <v>162</v>
      </c>
      <c r="C12" s="3" t="s">
        <v>163</v>
      </c>
      <c r="D12" s="3" t="s">
        <v>164</v>
      </c>
      <c r="E12" s="3" t="s">
        <v>165</v>
      </c>
    </row>
    <row r="13" spans="1:5" x14ac:dyDescent="0.45">
      <c r="A13" s="3" t="s">
        <v>166</v>
      </c>
      <c r="B13" s="3" t="s">
        <v>167</v>
      </c>
      <c r="C13" s="3" t="s">
        <v>168</v>
      </c>
      <c r="D13" s="3" t="s">
        <v>169</v>
      </c>
      <c r="E13" s="3" t="s">
        <v>170</v>
      </c>
    </row>
    <row r="14" spans="1:5" x14ac:dyDescent="0.45">
      <c r="A14" s="3" t="s">
        <v>166</v>
      </c>
      <c r="B14" s="3" t="s">
        <v>171</v>
      </c>
      <c r="C14" s="3" t="s">
        <v>172</v>
      </c>
      <c r="D14" s="3" t="s">
        <v>173</v>
      </c>
      <c r="E14" s="3" t="s">
        <v>170</v>
      </c>
    </row>
    <row r="15" spans="1:5" x14ac:dyDescent="0.45">
      <c r="A15" s="3" t="s">
        <v>166</v>
      </c>
      <c r="B15" s="3" t="s">
        <v>174</v>
      </c>
      <c r="C15" s="3" t="s">
        <v>175</v>
      </c>
      <c r="D15" s="3" t="s">
        <v>176</v>
      </c>
      <c r="E15" s="3" t="s">
        <v>177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6"/>
  <sheetViews>
    <sheetView workbookViewId="0">
      <selection activeCell="M2" sqref="M2"/>
    </sheetView>
  </sheetViews>
  <sheetFormatPr defaultRowHeight="14.25" x14ac:dyDescent="0.45"/>
  <cols>
    <col min="1" max="1" width="10" customWidth="1"/>
    <col min="2" max="2" width="8" customWidth="1"/>
    <col min="3" max="4" width="11" customWidth="1"/>
    <col min="5" max="5" width="14" customWidth="1"/>
    <col min="6" max="10" width="12" customWidth="1"/>
    <col min="11" max="11" width="8" customWidth="1"/>
    <col min="12" max="12" width="12" customWidth="1"/>
    <col min="13" max="13" width="17.19921875" customWidth="1"/>
  </cols>
  <sheetData>
    <row r="1" spans="1:13" x14ac:dyDescent="0.4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</row>
    <row r="2" spans="1:13" x14ac:dyDescent="0.4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4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x14ac:dyDescent="0.4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4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3" x14ac:dyDescent="0.4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1:13" x14ac:dyDescent="0.4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x14ac:dyDescent="0.4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x14ac:dyDescent="0.4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x14ac:dyDescent="0.4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1:13" x14ac:dyDescent="0.4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3" x14ac:dyDescent="0.4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13" x14ac:dyDescent="0.4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1:13" x14ac:dyDescent="0.4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13" x14ac:dyDescent="0.4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x14ac:dyDescent="0.4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x14ac:dyDescent="0.4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4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x14ac:dyDescent="0.4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x14ac:dyDescent="0.4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1:13" x14ac:dyDescent="0.4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4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 x14ac:dyDescent="0.4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 x14ac:dyDescent="0.4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3" x14ac:dyDescent="0.4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13" x14ac:dyDescent="0.4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1:13" x14ac:dyDescent="0.4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x14ac:dyDescent="0.4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x14ac:dyDescent="0.4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x14ac:dyDescent="0.4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x14ac:dyDescent="0.4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x14ac:dyDescent="0.4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x14ac:dyDescent="0.4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x14ac:dyDescent="0.4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 x14ac:dyDescent="0.4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x14ac:dyDescent="0.4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 x14ac:dyDescent="0.4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 x14ac:dyDescent="0.4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 x14ac:dyDescent="0.4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3" x14ac:dyDescent="0.4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1:13" x14ac:dyDescent="0.4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</row>
    <row r="42" spans="1:13" x14ac:dyDescent="0.4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1:13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 x14ac:dyDescent="0.4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8" customWidth="1"/>
    <col min="2" max="4" width="10" customWidth="1"/>
    <col min="5" max="5" width="12" customWidth="1"/>
    <col min="6" max="6" width="10" customWidth="1"/>
    <col min="7" max="7" width="30" customWidth="1"/>
    <col min="8" max="8" width="10" customWidth="1"/>
    <col min="9" max="10" width="16" customWidth="1"/>
    <col min="11" max="11" width="24" customWidth="1"/>
  </cols>
  <sheetData>
    <row r="1" spans="1:11" x14ac:dyDescent="0.45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</row>
    <row r="2" spans="1:11" x14ac:dyDescent="0.45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45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x14ac:dyDescent="0.45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45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x14ac:dyDescent="0.45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x14ac:dyDescent="0.4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45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x14ac:dyDescent="0.45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x14ac:dyDescent="0.4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4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4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4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4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x14ac:dyDescent="0.4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4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4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x14ac:dyDescent="0.4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4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x14ac:dyDescent="0.4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x14ac:dyDescent="0.4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1"/>
  <sheetViews>
    <sheetView workbookViewId="0">
      <selection activeCell="O23" sqref="O23"/>
    </sheetView>
  </sheetViews>
  <sheetFormatPr defaultRowHeight="14.25" x14ac:dyDescent="0.45"/>
  <cols>
    <col min="1" max="1" width="8" customWidth="1"/>
    <col min="2" max="2" width="12" customWidth="1"/>
    <col min="3" max="3" width="8" customWidth="1"/>
    <col min="4" max="4" width="14" customWidth="1"/>
    <col min="5" max="5" width="12" customWidth="1"/>
    <col min="6" max="6" width="10" customWidth="1"/>
    <col min="7" max="8" width="12" customWidth="1"/>
    <col min="9" max="11" width="14" customWidth="1"/>
    <col min="12" max="12" width="16" customWidth="1"/>
    <col min="13" max="13" width="10" customWidth="1"/>
    <col min="14" max="14" width="14" customWidth="1"/>
    <col min="15" max="15" width="12" customWidth="1"/>
    <col min="16" max="16" width="10" customWidth="1"/>
    <col min="17" max="17" width="24" customWidth="1"/>
  </cols>
  <sheetData>
    <row r="1" spans="1:17" x14ac:dyDescent="0.45">
      <c r="A1" s="2" t="s">
        <v>26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33</v>
      </c>
      <c r="N1" s="2" t="s">
        <v>34</v>
      </c>
      <c r="O1" s="2" t="s">
        <v>48</v>
      </c>
      <c r="P1" s="2" t="s">
        <v>49</v>
      </c>
      <c r="Q1" s="5" t="s">
        <v>50</v>
      </c>
    </row>
    <row r="2" spans="1:17" x14ac:dyDescent="0.45">
      <c r="A2" s="3"/>
      <c r="B2" s="3"/>
      <c r="C2" s="3">
        <f>Inputs!$B$4</f>
        <v>1.5</v>
      </c>
      <c r="D2" s="3"/>
      <c r="E2" s="3" t="str">
        <f>IF($D2="","",VLOOKUP($D2,GestureEvents!$A$1:$M$42,13,FALSE))</f>
        <v/>
      </c>
      <c r="F2" s="3" t="str">
        <f t="shared" ref="F2:F21" si="0">IF($D2="","",ABS($E2-$B2))</f>
        <v/>
      </c>
      <c r="G2" s="3" t="str">
        <f>IF($D2="","",VLOOKUP($D2,GestureEvents!$A$1:$M$42,6,FALSE))</f>
        <v/>
      </c>
      <c r="H2" s="3" t="str">
        <f>IF($D2="","",VLOOKUP($D2,GestureEvents!$A$1:$M$42,7,FALSE))</f>
        <v/>
      </c>
      <c r="I2" s="3" t="str">
        <f>IF($D2="","",VLOOKUP($D2,GestureEvents!$A$1:$M$42,10,FALSE))</f>
        <v/>
      </c>
      <c r="J2" s="3" t="str">
        <f>IF($D2="","",VLOOKUP($D2,GestureEvents!$A$1:$M$42,8,FALSE))</f>
        <v/>
      </c>
      <c r="K2" s="3" t="str">
        <f t="shared" ref="K2:K21" si="1">IF($D2="","NO",IF($F2&lt;=$C2,"YES","NO"))</f>
        <v>NO</v>
      </c>
      <c r="L2" s="3"/>
      <c r="M2" s="3" t="str">
        <f>IFERROR(VLOOKUP($A2,StructuralPoints!$A$1:$K$21,8,FALSE),"")</f>
        <v/>
      </c>
      <c r="N2" s="3" t="str">
        <f>IFERROR(VLOOKUP($A2,StructuralPoints!$A$1:$K$21,9,FALSE),"")</f>
        <v/>
      </c>
      <c r="O2" s="3" t="str">
        <f>IFERROR(VLOOKUP($A2,StructuralPoints!$A$1:$K$21,10,FALSE),"")</f>
        <v/>
      </c>
      <c r="P2" s="3"/>
      <c r="Q2" s="3"/>
    </row>
    <row r="3" spans="1:17" x14ac:dyDescent="0.45">
      <c r="A3" s="3"/>
      <c r="B3" s="3"/>
      <c r="C3" s="3">
        <f>Inputs!$B$4</f>
        <v>1.5</v>
      </c>
      <c r="D3" s="3"/>
      <c r="E3" s="3" t="str">
        <f>IF($D3="","",VLOOKUP($D3,GestureEvents!$A$1:$M$42,13,FALSE))</f>
        <v/>
      </c>
      <c r="F3" s="3" t="str">
        <f t="shared" si="0"/>
        <v/>
      </c>
      <c r="G3" s="3" t="str">
        <f>IF($D3="","",VLOOKUP($D3,GestureEvents!$A$1:$M$42,6,FALSE))</f>
        <v/>
      </c>
      <c r="H3" s="3" t="str">
        <f>IF($D3="","",VLOOKUP($D3,GestureEvents!$A$1:$M$42,7,FALSE))</f>
        <v/>
      </c>
      <c r="I3" s="3" t="str">
        <f>IF($D3="","",VLOOKUP($D3,GestureEvents!$A$1:$M$42,10,FALSE))</f>
        <v/>
      </c>
      <c r="J3" s="3" t="str">
        <f>IF($D3="","",VLOOKUP($D3,GestureEvents!$A$1:$M$42,8,FALSE))</f>
        <v/>
      </c>
      <c r="K3" s="3" t="str">
        <f t="shared" si="1"/>
        <v>NO</v>
      </c>
      <c r="L3" s="3"/>
      <c r="M3" s="3" t="str">
        <f>IFERROR(VLOOKUP($A3,StructuralPoints!$A$1:$K$21,8,FALSE),"")</f>
        <v/>
      </c>
      <c r="N3" s="3" t="str">
        <f>IFERROR(VLOOKUP($A3,StructuralPoints!$A$1:$K$21,9,FALSE),"")</f>
        <v/>
      </c>
      <c r="O3" s="3" t="str">
        <f>IFERROR(VLOOKUP($A3,StructuralPoints!$A$1:$K$21,10,FALSE),"")</f>
        <v/>
      </c>
      <c r="P3" s="3"/>
      <c r="Q3" s="3"/>
    </row>
    <row r="4" spans="1:17" x14ac:dyDescent="0.45">
      <c r="A4" s="3"/>
      <c r="B4" s="3"/>
      <c r="C4" s="3">
        <f>Inputs!$B$4</f>
        <v>1.5</v>
      </c>
      <c r="D4" s="3"/>
      <c r="E4" s="3" t="str">
        <f>IF($D4="","",VLOOKUP($D4,GestureEvents!$A$1:$M$42,13,FALSE))</f>
        <v/>
      </c>
      <c r="F4" s="3" t="str">
        <f t="shared" si="0"/>
        <v/>
      </c>
      <c r="G4" s="3" t="str">
        <f>IF($D4="","",VLOOKUP($D4,GestureEvents!$A$1:$M$42,6,FALSE))</f>
        <v/>
      </c>
      <c r="H4" s="3" t="str">
        <f>IF($D4="","",VLOOKUP($D4,GestureEvents!$A$1:$M$42,7,FALSE))</f>
        <v/>
      </c>
      <c r="I4" s="3" t="str">
        <f>IF($D4="","",VLOOKUP($D4,GestureEvents!$A$1:$M$42,10,FALSE))</f>
        <v/>
      </c>
      <c r="J4" s="3" t="str">
        <f>IF($D4="","",VLOOKUP($D4,GestureEvents!$A$1:$M$42,8,FALSE))</f>
        <v/>
      </c>
      <c r="K4" s="3" t="str">
        <f t="shared" si="1"/>
        <v>NO</v>
      </c>
      <c r="L4" s="3"/>
      <c r="M4" s="3" t="str">
        <f>IFERROR(VLOOKUP($A4,StructuralPoints!$A$1:$K$21,8,FALSE),"")</f>
        <v/>
      </c>
      <c r="N4" s="3" t="str">
        <f>IFERROR(VLOOKUP($A4,StructuralPoints!$A$1:$K$21,9,FALSE),"")</f>
        <v/>
      </c>
      <c r="O4" s="3" t="str">
        <f>IFERROR(VLOOKUP($A4,StructuralPoints!$A$1:$K$21,10,FALSE),"")</f>
        <v/>
      </c>
      <c r="P4" s="3"/>
      <c r="Q4" s="3"/>
    </row>
    <row r="5" spans="1:17" x14ac:dyDescent="0.45">
      <c r="A5" s="3"/>
      <c r="B5" s="3"/>
      <c r="C5" s="3">
        <f>Inputs!$B$4</f>
        <v>1.5</v>
      </c>
      <c r="D5" s="3"/>
      <c r="E5" s="3" t="str">
        <f>IF($D5="","",VLOOKUP($D5,GestureEvents!$A$1:$M$42,13,FALSE))</f>
        <v/>
      </c>
      <c r="F5" s="3" t="str">
        <f t="shared" si="0"/>
        <v/>
      </c>
      <c r="G5" s="3" t="str">
        <f>IF($D5="","",VLOOKUP($D5,GestureEvents!$A$1:$M$42,6,FALSE))</f>
        <v/>
      </c>
      <c r="H5" s="3" t="str">
        <f>IF($D5="","",VLOOKUP($D5,GestureEvents!$A$1:$M$42,7,FALSE))</f>
        <v/>
      </c>
      <c r="I5" s="3" t="str">
        <f>IF($D5="","",VLOOKUP($D5,GestureEvents!$A$1:$M$42,10,FALSE))</f>
        <v/>
      </c>
      <c r="J5" s="3" t="str">
        <f>IF($D5="","",VLOOKUP($D5,GestureEvents!$A$1:$M$42,8,FALSE))</f>
        <v/>
      </c>
      <c r="K5" s="3" t="str">
        <f t="shared" si="1"/>
        <v>NO</v>
      </c>
      <c r="L5" s="3"/>
      <c r="M5" s="3" t="str">
        <f>IFERROR(VLOOKUP($A5,StructuralPoints!$A$1:$K$21,8,FALSE),"")</f>
        <v/>
      </c>
      <c r="N5" s="3" t="str">
        <f>IFERROR(VLOOKUP($A5,StructuralPoints!$A$1:$K$21,9,FALSE),"")</f>
        <v/>
      </c>
      <c r="O5" s="3" t="str">
        <f>IFERROR(VLOOKUP($A5,StructuralPoints!$A$1:$K$21,10,FALSE),"")</f>
        <v/>
      </c>
      <c r="P5" s="3"/>
      <c r="Q5" s="3"/>
    </row>
    <row r="6" spans="1:17" x14ac:dyDescent="0.45">
      <c r="A6" s="3"/>
      <c r="B6" s="3"/>
      <c r="C6" s="3">
        <f>Inputs!$B$4</f>
        <v>1.5</v>
      </c>
      <c r="D6" s="3"/>
      <c r="E6" s="3" t="str">
        <f>IF($D6="","",VLOOKUP($D6,GestureEvents!$A$1:$M$42,13,FALSE))</f>
        <v/>
      </c>
      <c r="F6" s="3" t="str">
        <f t="shared" si="0"/>
        <v/>
      </c>
      <c r="G6" s="3" t="str">
        <f>IF($D6="","",VLOOKUP($D6,GestureEvents!$A$1:$M$42,6,FALSE))</f>
        <v/>
      </c>
      <c r="H6" s="3" t="str">
        <f>IF($D6="","",VLOOKUP($D6,GestureEvents!$A$1:$M$42,7,FALSE))</f>
        <v/>
      </c>
      <c r="I6" s="3" t="str">
        <f>IF($D6="","",VLOOKUP($D6,GestureEvents!$A$1:$M$42,10,FALSE))</f>
        <v/>
      </c>
      <c r="J6" s="3" t="str">
        <f>IF($D6="","",VLOOKUP($D6,GestureEvents!$A$1:$M$42,8,FALSE))</f>
        <v/>
      </c>
      <c r="K6" s="3" t="str">
        <f t="shared" si="1"/>
        <v>NO</v>
      </c>
      <c r="L6" s="3"/>
      <c r="M6" s="3" t="str">
        <f>IFERROR(VLOOKUP($A6,StructuralPoints!$A$1:$K$21,8,FALSE),"")</f>
        <v/>
      </c>
      <c r="N6" s="3" t="str">
        <f>IFERROR(VLOOKUP($A6,StructuralPoints!$A$1:$K$21,9,FALSE),"")</f>
        <v/>
      </c>
      <c r="O6" s="3" t="str">
        <f>IFERROR(VLOOKUP($A6,StructuralPoints!$A$1:$K$21,10,FALSE),"")</f>
        <v/>
      </c>
      <c r="P6" s="3"/>
      <c r="Q6" s="3"/>
    </row>
    <row r="7" spans="1:17" x14ac:dyDescent="0.45">
      <c r="A7" s="3"/>
      <c r="B7" s="3"/>
      <c r="C7" s="3">
        <f>Inputs!$B$4</f>
        <v>1.5</v>
      </c>
      <c r="D7" s="3"/>
      <c r="E7" s="3" t="str">
        <f>IF($D7="","",VLOOKUP($D7,GestureEvents!$A$1:$M$42,13,FALSE))</f>
        <v/>
      </c>
      <c r="F7" s="3" t="str">
        <f t="shared" si="0"/>
        <v/>
      </c>
      <c r="G7" s="3" t="str">
        <f>IF($D7="","",VLOOKUP($D7,GestureEvents!$A$1:$M$42,6,FALSE))</f>
        <v/>
      </c>
      <c r="H7" s="3" t="str">
        <f>IF($D7="","",VLOOKUP($D7,GestureEvents!$A$1:$M$42,7,FALSE))</f>
        <v/>
      </c>
      <c r="I7" s="3" t="str">
        <f>IF($D7="","",VLOOKUP($D7,GestureEvents!$A$1:$M$42,10,FALSE))</f>
        <v/>
      </c>
      <c r="J7" s="3" t="str">
        <f>IF($D7="","",VLOOKUP($D7,GestureEvents!$A$1:$M$42,8,FALSE))</f>
        <v/>
      </c>
      <c r="K7" s="3" t="str">
        <f t="shared" si="1"/>
        <v>NO</v>
      </c>
      <c r="L7" s="3"/>
      <c r="M7" s="3" t="str">
        <f>IFERROR(VLOOKUP($A7,StructuralPoints!$A$1:$K$21,8,FALSE),"")</f>
        <v/>
      </c>
      <c r="N7" s="3" t="str">
        <f>IFERROR(VLOOKUP($A7,StructuralPoints!$A$1:$K$21,9,FALSE),"")</f>
        <v/>
      </c>
      <c r="O7" s="3" t="str">
        <f>IFERROR(VLOOKUP($A7,StructuralPoints!$A$1:$K$21,10,FALSE),"")</f>
        <v/>
      </c>
      <c r="P7" s="3"/>
      <c r="Q7" s="3"/>
    </row>
    <row r="8" spans="1:17" x14ac:dyDescent="0.45">
      <c r="A8" s="3"/>
      <c r="B8" s="3"/>
      <c r="C8" s="3">
        <f>Inputs!$B$4</f>
        <v>1.5</v>
      </c>
      <c r="D8" s="3"/>
      <c r="E8" s="3" t="str">
        <f>IF($D8="","",VLOOKUP($D8,GestureEvents!$A$1:$M$42,13,FALSE))</f>
        <v/>
      </c>
      <c r="F8" s="3" t="str">
        <f t="shared" si="0"/>
        <v/>
      </c>
      <c r="G8" s="3" t="str">
        <f>IF($D8="","",VLOOKUP($D8,GestureEvents!$A$1:$M$42,6,FALSE))</f>
        <v/>
      </c>
      <c r="H8" s="3" t="str">
        <f>IF($D8="","",VLOOKUP($D8,GestureEvents!$A$1:$M$42,7,FALSE))</f>
        <v/>
      </c>
      <c r="I8" s="3" t="str">
        <f>IF($D8="","",VLOOKUP($D8,GestureEvents!$A$1:$M$42,10,FALSE))</f>
        <v/>
      </c>
      <c r="J8" s="3" t="str">
        <f>IF($D8="","",VLOOKUP($D8,GestureEvents!$A$1:$M$42,8,FALSE))</f>
        <v/>
      </c>
      <c r="K8" s="3" t="str">
        <f t="shared" si="1"/>
        <v>NO</v>
      </c>
      <c r="L8" s="3"/>
      <c r="M8" s="3" t="str">
        <f>IFERROR(VLOOKUP($A8,StructuralPoints!$A$1:$K$21,8,FALSE),"")</f>
        <v/>
      </c>
      <c r="N8" s="3" t="str">
        <f>IFERROR(VLOOKUP($A8,StructuralPoints!$A$1:$K$21,9,FALSE),"")</f>
        <v/>
      </c>
      <c r="O8" s="3" t="str">
        <f>IFERROR(VLOOKUP($A8,StructuralPoints!$A$1:$K$21,10,FALSE),"")</f>
        <v/>
      </c>
      <c r="P8" s="3"/>
      <c r="Q8" s="3"/>
    </row>
    <row r="9" spans="1:17" x14ac:dyDescent="0.45">
      <c r="A9" s="3"/>
      <c r="B9" s="3"/>
      <c r="C9" s="3">
        <f>Inputs!$B$4</f>
        <v>1.5</v>
      </c>
      <c r="D9" s="3"/>
      <c r="E9" s="3" t="str">
        <f>IF($D9="","",VLOOKUP($D9,GestureEvents!$A$1:$M$42,13,FALSE))</f>
        <v/>
      </c>
      <c r="F9" s="3" t="str">
        <f t="shared" si="0"/>
        <v/>
      </c>
      <c r="G9" s="3" t="str">
        <f>IF($D9="","",VLOOKUP($D9,GestureEvents!$A$1:$M$42,6,FALSE))</f>
        <v/>
      </c>
      <c r="H9" s="3" t="str">
        <f>IF($D9="","",VLOOKUP($D9,GestureEvents!$A$1:$M$42,7,FALSE))</f>
        <v/>
      </c>
      <c r="I9" s="3" t="str">
        <f>IF($D9="","",VLOOKUP($D9,GestureEvents!$A$1:$M$42,10,FALSE))</f>
        <v/>
      </c>
      <c r="J9" s="3" t="str">
        <f>IF($D9="","",VLOOKUP($D9,GestureEvents!$A$1:$M$42,8,FALSE))</f>
        <v/>
      </c>
      <c r="K9" s="3" t="str">
        <f t="shared" si="1"/>
        <v>NO</v>
      </c>
      <c r="L9" s="3"/>
      <c r="M9" s="3" t="str">
        <f>IFERROR(VLOOKUP($A9,StructuralPoints!$A$1:$K$21,8,FALSE),"")</f>
        <v/>
      </c>
      <c r="N9" s="3" t="str">
        <f>IFERROR(VLOOKUP($A9,StructuralPoints!$A$1:$K$21,9,FALSE),"")</f>
        <v/>
      </c>
      <c r="O9" s="3" t="str">
        <f>IFERROR(VLOOKUP($A9,StructuralPoints!$A$1:$K$21,10,FALSE),"")</f>
        <v/>
      </c>
      <c r="P9" s="3"/>
      <c r="Q9" s="3"/>
    </row>
    <row r="10" spans="1:17" x14ac:dyDescent="0.45">
      <c r="A10" s="3"/>
      <c r="B10" s="3"/>
      <c r="C10" s="3">
        <f>Inputs!$B$4</f>
        <v>1.5</v>
      </c>
      <c r="D10" s="3"/>
      <c r="E10" s="3" t="str">
        <f>IF($D10="","",VLOOKUP($D10,GestureEvents!$A$1:$M$42,13,FALSE))</f>
        <v/>
      </c>
      <c r="F10" s="3" t="str">
        <f t="shared" si="0"/>
        <v/>
      </c>
      <c r="G10" s="3" t="str">
        <f>IF($D10="","",VLOOKUP($D10,GestureEvents!$A$1:$M$42,6,FALSE))</f>
        <v/>
      </c>
      <c r="H10" s="3" t="str">
        <f>IF($D10="","",VLOOKUP($D10,GestureEvents!$A$1:$M$42,7,FALSE))</f>
        <v/>
      </c>
      <c r="I10" s="3" t="str">
        <f>IF($D10="","",VLOOKUP($D10,GestureEvents!$A$1:$M$42,10,FALSE))</f>
        <v/>
      </c>
      <c r="J10" s="3" t="str">
        <f>IF($D10="","",VLOOKUP($D10,GestureEvents!$A$1:$M$42,8,FALSE))</f>
        <v/>
      </c>
      <c r="K10" s="3" t="str">
        <f t="shared" si="1"/>
        <v>NO</v>
      </c>
      <c r="L10" s="3"/>
      <c r="M10" s="3" t="str">
        <f>IFERROR(VLOOKUP($A10,StructuralPoints!$A$1:$K$21,8,FALSE),"")</f>
        <v/>
      </c>
      <c r="N10" s="3" t="str">
        <f>IFERROR(VLOOKUP($A10,StructuralPoints!$A$1:$K$21,9,FALSE),"")</f>
        <v/>
      </c>
      <c r="O10" s="3" t="str">
        <f>IFERROR(VLOOKUP($A10,StructuralPoints!$A$1:$K$21,10,FALSE),"")</f>
        <v/>
      </c>
      <c r="P10" s="3"/>
      <c r="Q10" s="3"/>
    </row>
    <row r="11" spans="1:17" x14ac:dyDescent="0.45">
      <c r="A11" s="3"/>
      <c r="B11" s="3"/>
      <c r="C11" s="3">
        <f>Inputs!$B$4</f>
        <v>1.5</v>
      </c>
      <c r="D11" s="3"/>
      <c r="E11" s="3" t="str">
        <f>IF($D11="","",VLOOKUP($D11,GestureEvents!$A$1:$M$42,13,FALSE))</f>
        <v/>
      </c>
      <c r="F11" s="3" t="str">
        <f t="shared" si="0"/>
        <v/>
      </c>
      <c r="G11" s="3" t="str">
        <f>IF($D11="","",VLOOKUP($D11,GestureEvents!$A$1:$M$42,6,FALSE))</f>
        <v/>
      </c>
      <c r="H11" s="3" t="str">
        <f>IF($D11="","",VLOOKUP($D11,GestureEvents!$A$1:$M$42,7,FALSE))</f>
        <v/>
      </c>
      <c r="I11" s="3" t="str">
        <f>IF($D11="","",VLOOKUP($D11,GestureEvents!$A$1:$M$42,10,FALSE))</f>
        <v/>
      </c>
      <c r="J11" s="3" t="str">
        <f>IF($D11="","",VLOOKUP($D11,GestureEvents!$A$1:$M$42,8,FALSE))</f>
        <v/>
      </c>
      <c r="K11" s="3" t="str">
        <f t="shared" si="1"/>
        <v>NO</v>
      </c>
      <c r="L11" s="3"/>
      <c r="M11" s="3" t="str">
        <f>IFERROR(VLOOKUP($A11,StructuralPoints!$A$1:$K$21,8,FALSE),"")</f>
        <v/>
      </c>
      <c r="N11" s="3" t="str">
        <f>IFERROR(VLOOKUP($A11,StructuralPoints!$A$1:$K$21,9,FALSE),"")</f>
        <v/>
      </c>
      <c r="O11" s="3" t="str">
        <f>IFERROR(VLOOKUP($A11,StructuralPoints!$A$1:$K$21,10,FALSE),"")</f>
        <v/>
      </c>
      <c r="P11" s="3"/>
      <c r="Q11" s="3"/>
    </row>
    <row r="12" spans="1:17" x14ac:dyDescent="0.45">
      <c r="A12" s="3"/>
      <c r="B12" s="3"/>
      <c r="C12" s="3">
        <f>Inputs!$B$4</f>
        <v>1.5</v>
      </c>
      <c r="D12" s="3"/>
      <c r="E12" s="3" t="str">
        <f>IF($D12="","",VLOOKUP($D12,GestureEvents!$A$1:$M$42,13,FALSE))</f>
        <v/>
      </c>
      <c r="F12" s="3" t="str">
        <f t="shared" si="0"/>
        <v/>
      </c>
      <c r="G12" s="3" t="str">
        <f>IF($D12="","",VLOOKUP($D12,GestureEvents!$A$1:$M$42,6,FALSE))</f>
        <v/>
      </c>
      <c r="H12" s="3" t="str">
        <f>IF($D12="","",VLOOKUP($D12,GestureEvents!$A$1:$M$42,7,FALSE))</f>
        <v/>
      </c>
      <c r="I12" s="3" t="str">
        <f>IF($D12="","",VLOOKUP($D12,GestureEvents!$A$1:$M$42,10,FALSE))</f>
        <v/>
      </c>
      <c r="J12" s="3" t="str">
        <f>IF($D12="","",VLOOKUP($D12,GestureEvents!$A$1:$M$42,8,FALSE))</f>
        <v/>
      </c>
      <c r="K12" s="3" t="str">
        <f t="shared" si="1"/>
        <v>NO</v>
      </c>
      <c r="L12" s="3"/>
      <c r="M12" s="3" t="str">
        <f>IFERROR(VLOOKUP($A12,StructuralPoints!$A$1:$K$21,8,FALSE),"")</f>
        <v/>
      </c>
      <c r="N12" s="3" t="str">
        <f>IFERROR(VLOOKUP($A12,StructuralPoints!$A$1:$K$21,9,FALSE),"")</f>
        <v/>
      </c>
      <c r="O12" s="3" t="str">
        <f>IFERROR(VLOOKUP($A12,StructuralPoints!$A$1:$K$21,10,FALSE),"")</f>
        <v/>
      </c>
      <c r="P12" s="3"/>
      <c r="Q12" s="3"/>
    </row>
    <row r="13" spans="1:17" x14ac:dyDescent="0.45">
      <c r="A13" s="3"/>
      <c r="B13" s="3"/>
      <c r="C13" s="3">
        <f>Inputs!$B$4</f>
        <v>1.5</v>
      </c>
      <c r="D13" s="3"/>
      <c r="E13" s="3" t="str">
        <f>IF($D13="","",VLOOKUP($D13,GestureEvents!$A$1:$M$42,13,FALSE))</f>
        <v/>
      </c>
      <c r="F13" s="3" t="str">
        <f t="shared" si="0"/>
        <v/>
      </c>
      <c r="G13" s="3" t="str">
        <f>IF($D13="","",VLOOKUP($D13,GestureEvents!$A$1:$M$42,6,FALSE))</f>
        <v/>
      </c>
      <c r="H13" s="3" t="str">
        <f>IF($D13="","",VLOOKUP($D13,GestureEvents!$A$1:$M$42,7,FALSE))</f>
        <v/>
      </c>
      <c r="I13" s="3" t="str">
        <f>IF($D13="","",VLOOKUP($D13,GestureEvents!$A$1:$M$42,10,FALSE))</f>
        <v/>
      </c>
      <c r="J13" s="3" t="str">
        <f>IF($D13="","",VLOOKUP($D13,GestureEvents!$A$1:$M$42,8,FALSE))</f>
        <v/>
      </c>
      <c r="K13" s="3" t="str">
        <f t="shared" si="1"/>
        <v>NO</v>
      </c>
      <c r="L13" s="3"/>
      <c r="M13" s="3" t="str">
        <f>IFERROR(VLOOKUP($A13,StructuralPoints!$A$1:$K$21,8,FALSE),"")</f>
        <v/>
      </c>
      <c r="N13" s="3" t="str">
        <f>IFERROR(VLOOKUP($A13,StructuralPoints!$A$1:$K$21,9,FALSE),"")</f>
        <v/>
      </c>
      <c r="O13" s="3" t="str">
        <f>IFERROR(VLOOKUP($A13,StructuralPoints!$A$1:$K$21,10,FALSE),"")</f>
        <v/>
      </c>
      <c r="P13" s="3"/>
      <c r="Q13" s="3"/>
    </row>
    <row r="14" spans="1:17" x14ac:dyDescent="0.45">
      <c r="A14" s="3"/>
      <c r="B14" s="3"/>
      <c r="C14" s="3">
        <f>Inputs!$B$4</f>
        <v>1.5</v>
      </c>
      <c r="D14" s="3"/>
      <c r="E14" s="3" t="str">
        <f>IF($D14="","",VLOOKUP($D14,GestureEvents!$A$1:$M$42,13,FALSE))</f>
        <v/>
      </c>
      <c r="F14" s="3" t="str">
        <f t="shared" si="0"/>
        <v/>
      </c>
      <c r="G14" s="3" t="str">
        <f>IF($D14="","",VLOOKUP($D14,GestureEvents!$A$1:$M$42,6,FALSE))</f>
        <v/>
      </c>
      <c r="H14" s="3" t="str">
        <f>IF($D14="","",VLOOKUP($D14,GestureEvents!$A$1:$M$42,7,FALSE))</f>
        <v/>
      </c>
      <c r="I14" s="3" t="str">
        <f>IF($D14="","",VLOOKUP($D14,GestureEvents!$A$1:$M$42,10,FALSE))</f>
        <v/>
      </c>
      <c r="J14" s="3" t="str">
        <f>IF($D14="","",VLOOKUP($D14,GestureEvents!$A$1:$M$42,8,FALSE))</f>
        <v/>
      </c>
      <c r="K14" s="3" t="str">
        <f t="shared" si="1"/>
        <v>NO</v>
      </c>
      <c r="L14" s="3"/>
      <c r="M14" s="3" t="str">
        <f>IFERROR(VLOOKUP($A14,StructuralPoints!$A$1:$K$21,8,FALSE),"")</f>
        <v/>
      </c>
      <c r="N14" s="3" t="str">
        <f>IFERROR(VLOOKUP($A14,StructuralPoints!$A$1:$K$21,9,FALSE),"")</f>
        <v/>
      </c>
      <c r="O14" s="3" t="str">
        <f>IFERROR(VLOOKUP($A14,StructuralPoints!$A$1:$K$21,10,FALSE),"")</f>
        <v/>
      </c>
      <c r="P14" s="3"/>
      <c r="Q14" s="3"/>
    </row>
    <row r="15" spans="1:17" x14ac:dyDescent="0.45">
      <c r="A15" s="3"/>
      <c r="B15" s="3"/>
      <c r="C15" s="3">
        <f>Inputs!$B$4</f>
        <v>1.5</v>
      </c>
      <c r="D15" s="3"/>
      <c r="E15" s="3" t="str">
        <f>IF($D15="","",VLOOKUP($D15,GestureEvents!$A$1:$M$42,13,FALSE))</f>
        <v/>
      </c>
      <c r="F15" s="3" t="str">
        <f t="shared" si="0"/>
        <v/>
      </c>
      <c r="G15" s="3" t="str">
        <f>IF($D15="","",VLOOKUP($D15,GestureEvents!$A$1:$M$42,6,FALSE))</f>
        <v/>
      </c>
      <c r="H15" s="3" t="str">
        <f>IF($D15="","",VLOOKUP($D15,GestureEvents!$A$1:$M$42,7,FALSE))</f>
        <v/>
      </c>
      <c r="I15" s="3" t="str">
        <f>IF($D15="","",VLOOKUP($D15,GestureEvents!$A$1:$M$42,10,FALSE))</f>
        <v/>
      </c>
      <c r="J15" s="3" t="str">
        <f>IF($D15="","",VLOOKUP($D15,GestureEvents!$A$1:$M$42,8,FALSE))</f>
        <v/>
      </c>
      <c r="K15" s="3" t="str">
        <f t="shared" si="1"/>
        <v>NO</v>
      </c>
      <c r="L15" s="3"/>
      <c r="M15" s="3" t="str">
        <f>IFERROR(VLOOKUP($A15,StructuralPoints!$A$1:$K$21,8,FALSE),"")</f>
        <v/>
      </c>
      <c r="N15" s="3" t="str">
        <f>IFERROR(VLOOKUP($A15,StructuralPoints!$A$1:$K$21,9,FALSE),"")</f>
        <v/>
      </c>
      <c r="O15" s="3" t="str">
        <f>IFERROR(VLOOKUP($A15,StructuralPoints!$A$1:$K$21,10,FALSE),"")</f>
        <v/>
      </c>
      <c r="P15" s="3"/>
      <c r="Q15" s="3"/>
    </row>
    <row r="16" spans="1:17" x14ac:dyDescent="0.45">
      <c r="A16" s="3"/>
      <c r="B16" s="3"/>
      <c r="C16" s="3">
        <f>Inputs!$B$4</f>
        <v>1.5</v>
      </c>
      <c r="D16" s="3"/>
      <c r="E16" s="3" t="str">
        <f>IF($D16="","",VLOOKUP($D16,GestureEvents!$A$1:$M$42,13,FALSE))</f>
        <v/>
      </c>
      <c r="F16" s="3" t="str">
        <f t="shared" si="0"/>
        <v/>
      </c>
      <c r="G16" s="3" t="str">
        <f>IF($D16="","",VLOOKUP($D16,GestureEvents!$A$1:$M$42,6,FALSE))</f>
        <v/>
      </c>
      <c r="H16" s="3" t="str">
        <f>IF($D16="","",VLOOKUP($D16,GestureEvents!$A$1:$M$42,7,FALSE))</f>
        <v/>
      </c>
      <c r="I16" s="3" t="str">
        <f>IF($D16="","",VLOOKUP($D16,GestureEvents!$A$1:$M$42,10,FALSE))</f>
        <v/>
      </c>
      <c r="J16" s="3" t="str">
        <f>IF($D16="","",VLOOKUP($D16,GestureEvents!$A$1:$M$42,8,FALSE))</f>
        <v/>
      </c>
      <c r="K16" s="3" t="str">
        <f t="shared" si="1"/>
        <v>NO</v>
      </c>
      <c r="L16" s="3"/>
      <c r="M16" s="3" t="str">
        <f>IFERROR(VLOOKUP($A16,StructuralPoints!$A$1:$K$21,8,FALSE),"")</f>
        <v/>
      </c>
      <c r="N16" s="3" t="str">
        <f>IFERROR(VLOOKUP($A16,StructuralPoints!$A$1:$K$21,9,FALSE),"")</f>
        <v/>
      </c>
      <c r="O16" s="3" t="str">
        <f>IFERROR(VLOOKUP($A16,StructuralPoints!$A$1:$K$21,10,FALSE),"")</f>
        <v/>
      </c>
      <c r="P16" s="3"/>
      <c r="Q16" s="3"/>
    </row>
    <row r="17" spans="1:17" x14ac:dyDescent="0.45">
      <c r="A17" s="3"/>
      <c r="B17" s="3"/>
      <c r="C17" s="3">
        <f>Inputs!$B$4</f>
        <v>1.5</v>
      </c>
      <c r="D17" s="3"/>
      <c r="E17" s="3" t="str">
        <f>IF($D17="","",VLOOKUP($D17,GestureEvents!$A$1:$M$42,13,FALSE))</f>
        <v/>
      </c>
      <c r="F17" s="3" t="str">
        <f t="shared" si="0"/>
        <v/>
      </c>
      <c r="G17" s="3" t="str">
        <f>IF($D17="","",VLOOKUP($D17,GestureEvents!$A$1:$M$42,6,FALSE))</f>
        <v/>
      </c>
      <c r="H17" s="3" t="str">
        <f>IF($D17="","",VLOOKUP($D17,GestureEvents!$A$1:$M$42,7,FALSE))</f>
        <v/>
      </c>
      <c r="I17" s="3" t="str">
        <f>IF($D17="","",VLOOKUP($D17,GestureEvents!$A$1:$M$42,10,FALSE))</f>
        <v/>
      </c>
      <c r="J17" s="3" t="str">
        <f>IF($D17="","",VLOOKUP($D17,GestureEvents!$A$1:$M$42,8,FALSE))</f>
        <v/>
      </c>
      <c r="K17" s="3" t="str">
        <f t="shared" si="1"/>
        <v>NO</v>
      </c>
      <c r="L17" s="3"/>
      <c r="M17" s="3" t="str">
        <f>IFERROR(VLOOKUP($A17,StructuralPoints!$A$1:$K$21,8,FALSE),"")</f>
        <v/>
      </c>
      <c r="N17" s="3" t="str">
        <f>IFERROR(VLOOKUP($A17,StructuralPoints!$A$1:$K$21,9,FALSE),"")</f>
        <v/>
      </c>
      <c r="O17" s="3" t="str">
        <f>IFERROR(VLOOKUP($A17,StructuralPoints!$A$1:$K$21,10,FALSE),"")</f>
        <v/>
      </c>
      <c r="P17" s="3"/>
      <c r="Q17" s="3"/>
    </row>
    <row r="18" spans="1:17" x14ac:dyDescent="0.45">
      <c r="A18" s="3"/>
      <c r="B18" s="3"/>
      <c r="C18" s="3">
        <f>Inputs!$B$4</f>
        <v>1.5</v>
      </c>
      <c r="D18" s="3"/>
      <c r="E18" s="3" t="str">
        <f>IF($D18="","",VLOOKUP($D18,GestureEvents!$A$1:$M$42,13,FALSE))</f>
        <v/>
      </c>
      <c r="F18" s="3" t="str">
        <f t="shared" si="0"/>
        <v/>
      </c>
      <c r="G18" s="3" t="str">
        <f>IF($D18="","",VLOOKUP($D18,GestureEvents!$A$1:$M$42,6,FALSE))</f>
        <v/>
      </c>
      <c r="H18" s="3" t="str">
        <f>IF($D18="","",VLOOKUP($D18,GestureEvents!$A$1:$M$42,7,FALSE))</f>
        <v/>
      </c>
      <c r="I18" s="3" t="str">
        <f>IF($D18="","",VLOOKUP($D18,GestureEvents!$A$1:$M$42,10,FALSE))</f>
        <v/>
      </c>
      <c r="J18" s="3" t="str">
        <f>IF($D18="","",VLOOKUP($D18,GestureEvents!$A$1:$M$42,8,FALSE))</f>
        <v/>
      </c>
      <c r="K18" s="3" t="str">
        <f t="shared" si="1"/>
        <v>NO</v>
      </c>
      <c r="L18" s="3"/>
      <c r="M18" s="3" t="str">
        <f>IFERROR(VLOOKUP($A18,StructuralPoints!$A$1:$K$21,8,FALSE),"")</f>
        <v/>
      </c>
      <c r="N18" s="3" t="str">
        <f>IFERROR(VLOOKUP($A18,StructuralPoints!$A$1:$K$21,9,FALSE),"")</f>
        <v/>
      </c>
      <c r="O18" s="3" t="str">
        <f>IFERROR(VLOOKUP($A18,StructuralPoints!$A$1:$K$21,10,FALSE),"")</f>
        <v/>
      </c>
      <c r="P18" s="3"/>
      <c r="Q18" s="3"/>
    </row>
    <row r="19" spans="1:17" x14ac:dyDescent="0.45">
      <c r="A19" s="3"/>
      <c r="B19" s="3"/>
      <c r="C19" s="3">
        <f>Inputs!$B$4</f>
        <v>1.5</v>
      </c>
      <c r="D19" s="3"/>
      <c r="E19" s="3" t="str">
        <f>IF($D19="","",VLOOKUP($D19,GestureEvents!$A$1:$M$42,13,FALSE))</f>
        <v/>
      </c>
      <c r="F19" s="3" t="str">
        <f t="shared" si="0"/>
        <v/>
      </c>
      <c r="G19" s="3" t="str">
        <f>IF($D19="","",VLOOKUP($D19,GestureEvents!$A$1:$M$42,6,FALSE))</f>
        <v/>
      </c>
      <c r="H19" s="3" t="str">
        <f>IF($D19="","",VLOOKUP($D19,GestureEvents!$A$1:$M$42,7,FALSE))</f>
        <v/>
      </c>
      <c r="I19" s="3" t="str">
        <f>IF($D19="","",VLOOKUP($D19,GestureEvents!$A$1:$M$42,10,FALSE))</f>
        <v/>
      </c>
      <c r="J19" s="3" t="str">
        <f>IF($D19="","",VLOOKUP($D19,GestureEvents!$A$1:$M$42,8,FALSE))</f>
        <v/>
      </c>
      <c r="K19" s="3" t="str">
        <f t="shared" si="1"/>
        <v>NO</v>
      </c>
      <c r="L19" s="3"/>
      <c r="M19" s="3" t="str">
        <f>IFERROR(VLOOKUP($A19,StructuralPoints!$A$1:$K$21,8,FALSE),"")</f>
        <v/>
      </c>
      <c r="N19" s="3" t="str">
        <f>IFERROR(VLOOKUP($A19,StructuralPoints!$A$1:$K$21,9,FALSE),"")</f>
        <v/>
      </c>
      <c r="O19" s="3" t="str">
        <f>IFERROR(VLOOKUP($A19,StructuralPoints!$A$1:$K$21,10,FALSE),"")</f>
        <v/>
      </c>
      <c r="P19" s="3"/>
      <c r="Q19" s="3"/>
    </row>
    <row r="20" spans="1:17" x14ac:dyDescent="0.45">
      <c r="A20" s="3"/>
      <c r="B20" s="3"/>
      <c r="C20" s="3">
        <f>Inputs!$B$4</f>
        <v>1.5</v>
      </c>
      <c r="D20" s="3"/>
      <c r="E20" s="3" t="str">
        <f>IF($D20="","",VLOOKUP($D20,GestureEvents!$A$1:$M$42,13,FALSE))</f>
        <v/>
      </c>
      <c r="F20" s="3" t="str">
        <f t="shared" si="0"/>
        <v/>
      </c>
      <c r="G20" s="3" t="str">
        <f>IF($D20="","",VLOOKUP($D20,GestureEvents!$A$1:$M$42,6,FALSE))</f>
        <v/>
      </c>
      <c r="H20" s="3" t="str">
        <f>IF($D20="","",VLOOKUP($D20,GestureEvents!$A$1:$M$42,7,FALSE))</f>
        <v/>
      </c>
      <c r="I20" s="3" t="str">
        <f>IF($D20="","",VLOOKUP($D20,GestureEvents!$A$1:$M$42,10,FALSE))</f>
        <v/>
      </c>
      <c r="J20" s="3" t="str">
        <f>IF($D20="","",VLOOKUP($D20,GestureEvents!$A$1:$M$42,8,FALSE))</f>
        <v/>
      </c>
      <c r="K20" s="3" t="str">
        <f t="shared" si="1"/>
        <v>NO</v>
      </c>
      <c r="L20" s="3"/>
      <c r="M20" s="3" t="str">
        <f>IFERROR(VLOOKUP($A20,StructuralPoints!$A$1:$K$21,8,FALSE),"")</f>
        <v/>
      </c>
      <c r="N20" s="3" t="str">
        <f>IFERROR(VLOOKUP($A20,StructuralPoints!$A$1:$K$21,9,FALSE),"")</f>
        <v/>
      </c>
      <c r="O20" s="3" t="str">
        <f>IFERROR(VLOOKUP($A20,StructuralPoints!$A$1:$K$21,10,FALSE),"")</f>
        <v/>
      </c>
      <c r="P20" s="3"/>
      <c r="Q20" s="3"/>
    </row>
    <row r="21" spans="1:17" x14ac:dyDescent="0.45">
      <c r="A21" s="3"/>
      <c r="B21" s="3"/>
      <c r="C21" s="3">
        <f>Inputs!$B$4</f>
        <v>1.5</v>
      </c>
      <c r="D21" s="3"/>
      <c r="E21" s="3" t="str">
        <f>IF($D21="","",VLOOKUP($D21,GestureEvents!$A$1:$M$42,13,FALSE))</f>
        <v/>
      </c>
      <c r="F21" s="3" t="str">
        <f t="shared" si="0"/>
        <v/>
      </c>
      <c r="G21" s="3" t="str">
        <f>IF($D21="","",VLOOKUP($D21,GestureEvents!$A$1:$M$42,6,FALSE))</f>
        <v/>
      </c>
      <c r="H21" s="3" t="str">
        <f>IF($D21="","",VLOOKUP($D21,GestureEvents!$A$1:$M$42,7,FALSE))</f>
        <v/>
      </c>
      <c r="I21" s="3" t="str">
        <f>IF($D21="","",VLOOKUP($D21,GestureEvents!$A$1:$M$42,10,FALSE))</f>
        <v/>
      </c>
      <c r="J21" s="3" t="str">
        <f>IF($D21="","",VLOOKUP($D21,GestureEvents!$A$1:$M$42,8,FALSE))</f>
        <v/>
      </c>
      <c r="K21" s="3" t="str">
        <f t="shared" si="1"/>
        <v>NO</v>
      </c>
      <c r="L21" s="3"/>
      <c r="M21" s="3" t="str">
        <f>IFERROR(VLOOKUP($A21,StructuralPoints!$A$1:$K$21,8,FALSE),"")</f>
        <v/>
      </c>
      <c r="N21" s="3" t="str">
        <f>IFERROR(VLOOKUP($A21,StructuralPoints!$A$1:$K$21,9,FALSE),"")</f>
        <v/>
      </c>
      <c r="O21" s="3" t="str">
        <f>IFERROR(VLOOKUP($A21,StructuralPoints!$A$1:$K$21,10,FALSE),"")</f>
        <v/>
      </c>
      <c r="P21" s="3"/>
      <c r="Q21" s="3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2" width="28" customWidth="1"/>
    <col min="3" max="3" width="18" customWidth="1"/>
    <col min="4" max="4" width="40" customWidth="1"/>
  </cols>
  <sheetData>
    <row r="1" spans="1:4" x14ac:dyDescent="0.45">
      <c r="A1" s="13" t="s">
        <v>8</v>
      </c>
      <c r="B1" s="11" t="s">
        <v>51</v>
      </c>
      <c r="C1" s="11" t="s">
        <v>6</v>
      </c>
      <c r="D1" s="11" t="s">
        <v>7</v>
      </c>
    </row>
    <row r="2" spans="1:4" x14ac:dyDescent="0.45">
      <c r="A2" t="s">
        <v>52</v>
      </c>
      <c r="B2" t="s">
        <v>53</v>
      </c>
      <c r="D2" t="s">
        <v>54</v>
      </c>
    </row>
    <row r="3" spans="1:4" x14ac:dyDescent="0.45">
      <c r="A3" t="s">
        <v>52</v>
      </c>
      <c r="B3" t="s">
        <v>55</v>
      </c>
      <c r="D3" t="s">
        <v>54</v>
      </c>
    </row>
    <row r="4" spans="1:4" x14ac:dyDescent="0.45">
      <c r="A4" t="s">
        <v>52</v>
      </c>
      <c r="B4" t="s">
        <v>56</v>
      </c>
      <c r="D4" t="s">
        <v>54</v>
      </c>
    </row>
    <row r="5" spans="1:4" x14ac:dyDescent="0.45">
      <c r="A5" t="s">
        <v>57</v>
      </c>
      <c r="B5" t="s">
        <v>58</v>
      </c>
      <c r="D5" t="s">
        <v>59</v>
      </c>
    </row>
    <row r="6" spans="1:4" x14ac:dyDescent="0.45">
      <c r="A6" t="s">
        <v>57</v>
      </c>
      <c r="B6" t="s">
        <v>60</v>
      </c>
      <c r="D6" t="s">
        <v>59</v>
      </c>
    </row>
    <row r="7" spans="1:4" x14ac:dyDescent="0.45">
      <c r="A7" t="s">
        <v>57</v>
      </c>
      <c r="B7" t="s">
        <v>61</v>
      </c>
      <c r="D7" t="s">
        <v>59</v>
      </c>
    </row>
    <row r="8" spans="1:4" x14ac:dyDescent="0.45">
      <c r="A8" t="s">
        <v>57</v>
      </c>
      <c r="B8" t="s">
        <v>62</v>
      </c>
      <c r="D8" t="s">
        <v>59</v>
      </c>
    </row>
    <row r="9" spans="1:4" x14ac:dyDescent="0.45">
      <c r="A9" t="s">
        <v>57</v>
      </c>
      <c r="B9" t="s">
        <v>63</v>
      </c>
      <c r="D9" t="s">
        <v>59</v>
      </c>
    </row>
    <row r="10" spans="1:4" x14ac:dyDescent="0.45">
      <c r="A10" t="s">
        <v>57</v>
      </c>
      <c r="B10" t="s">
        <v>64</v>
      </c>
      <c r="D10" t="s">
        <v>59</v>
      </c>
    </row>
    <row r="11" spans="1:4" x14ac:dyDescent="0.45">
      <c r="A11" t="s">
        <v>57</v>
      </c>
      <c r="B11" t="s">
        <v>65</v>
      </c>
      <c r="D11" t="s">
        <v>66</v>
      </c>
    </row>
    <row r="12" spans="1:4" x14ac:dyDescent="0.45">
      <c r="A12" t="s">
        <v>57</v>
      </c>
      <c r="B12" t="s">
        <v>67</v>
      </c>
      <c r="D12" t="s">
        <v>68</v>
      </c>
    </row>
    <row r="13" spans="1:4" x14ac:dyDescent="0.45">
      <c r="A13" t="s">
        <v>57</v>
      </c>
      <c r="B13" t="s">
        <v>69</v>
      </c>
      <c r="D13" t="s">
        <v>68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"/>
  <sheetViews>
    <sheetView topLeftCell="B1" workbookViewId="0">
      <selection activeCell="G1" sqref="G1:G1048576"/>
    </sheetView>
  </sheetViews>
  <sheetFormatPr defaultRowHeight="14.25" x14ac:dyDescent="0.45"/>
  <cols>
    <col min="1" max="6" width="16" customWidth="1"/>
    <col min="8" max="8" width="12" customWidth="1"/>
    <col min="9" max="9" width="42" customWidth="1"/>
  </cols>
  <sheetData>
    <row r="1" spans="1:9" x14ac:dyDescent="0.45">
      <c r="A1" s="8" t="s">
        <v>53</v>
      </c>
      <c r="B1" s="8" t="s">
        <v>23</v>
      </c>
      <c r="C1" s="8" t="s">
        <v>65</v>
      </c>
      <c r="D1" s="8" t="s">
        <v>67</v>
      </c>
      <c r="E1" s="8" t="s">
        <v>69</v>
      </c>
      <c r="F1" s="8" t="s">
        <v>70</v>
      </c>
      <c r="H1" s="11" t="s">
        <v>71</v>
      </c>
      <c r="I1" s="11" t="s">
        <v>7</v>
      </c>
    </row>
    <row r="2" spans="1:9" x14ac:dyDescent="0.45">
      <c r="A2" s="9"/>
      <c r="B2" s="9"/>
      <c r="C2" s="9"/>
      <c r="D2" s="9"/>
      <c r="E2" s="9"/>
      <c r="F2" s="9"/>
      <c r="H2">
        <v>0.5</v>
      </c>
      <c r="I2" t="s">
        <v>72</v>
      </c>
    </row>
    <row r="3" spans="1:9" x14ac:dyDescent="0.45">
      <c r="A3" s="9"/>
      <c r="B3" s="9"/>
      <c r="C3" s="9"/>
      <c r="D3" s="9"/>
      <c r="E3" s="9"/>
      <c r="F3" s="9"/>
      <c r="H3">
        <v>1</v>
      </c>
      <c r="I3" t="s">
        <v>73</v>
      </c>
    </row>
    <row r="4" spans="1:9" x14ac:dyDescent="0.45">
      <c r="A4" s="9"/>
      <c r="B4" s="9"/>
      <c r="C4" s="9"/>
      <c r="D4" s="9"/>
      <c r="E4" s="9"/>
      <c r="F4" s="9"/>
      <c r="H4">
        <v>1.5</v>
      </c>
      <c r="I4" t="s">
        <v>74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"/>
  <sheetViews>
    <sheetView zoomScale="85" zoomScaleNormal="85" workbookViewId="0">
      <selection activeCell="A2" sqref="A2:F6"/>
    </sheetView>
  </sheetViews>
  <sheetFormatPr defaultRowHeight="14.25" x14ac:dyDescent="0.45"/>
  <cols>
    <col min="2" max="2" width="19.6640625" customWidth="1"/>
    <col min="3" max="3" width="26.86328125" customWidth="1"/>
    <col min="4" max="4" width="34.1328125" customWidth="1"/>
    <col min="5" max="5" width="16.46484375" customWidth="1"/>
  </cols>
  <sheetData>
    <row r="1" spans="1:5" x14ac:dyDescent="0.45">
      <c r="A1" s="6" t="s">
        <v>75</v>
      </c>
      <c r="B1" s="6" t="s">
        <v>76</v>
      </c>
      <c r="C1" s="6" t="s">
        <v>10</v>
      </c>
      <c r="D1" s="6" t="s">
        <v>11</v>
      </c>
      <c r="E1" s="6" t="s">
        <v>12</v>
      </c>
    </row>
    <row r="2" spans="1:5" x14ac:dyDescent="0.45">
      <c r="A2">
        <v>1</v>
      </c>
      <c r="B2" t="s">
        <v>125</v>
      </c>
      <c r="C2" t="s">
        <v>126</v>
      </c>
      <c r="D2" t="s">
        <v>178</v>
      </c>
      <c r="E2" t="s">
        <v>128</v>
      </c>
    </row>
    <row r="3" spans="1:5" x14ac:dyDescent="0.45">
      <c r="A3">
        <v>2</v>
      </c>
      <c r="B3" t="s">
        <v>129</v>
      </c>
      <c r="C3" t="s">
        <v>130</v>
      </c>
      <c r="D3" t="s">
        <v>131</v>
      </c>
      <c r="E3" t="s">
        <v>132</v>
      </c>
    </row>
    <row r="4" spans="1:5" x14ac:dyDescent="0.45">
      <c r="A4">
        <v>3</v>
      </c>
      <c r="B4" t="s">
        <v>133</v>
      </c>
      <c r="C4" t="s">
        <v>134</v>
      </c>
      <c r="D4" t="s">
        <v>179</v>
      </c>
      <c r="E4" t="s">
        <v>128</v>
      </c>
    </row>
    <row r="5" spans="1:5" x14ac:dyDescent="0.45">
      <c r="A5">
        <v>4</v>
      </c>
      <c r="B5" t="s">
        <v>136</v>
      </c>
      <c r="C5" t="s">
        <v>137</v>
      </c>
      <c r="D5" t="s">
        <v>180</v>
      </c>
      <c r="E5" t="s">
        <v>128</v>
      </c>
    </row>
    <row r="6" spans="1:5" x14ac:dyDescent="0.45">
      <c r="A6">
        <v>5</v>
      </c>
      <c r="B6" t="s">
        <v>139</v>
      </c>
      <c r="C6" t="s">
        <v>140</v>
      </c>
      <c r="D6" t="s">
        <v>181</v>
      </c>
      <c r="E6" t="s">
        <v>128</v>
      </c>
    </row>
  </sheetData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7"/>
  <sheetViews>
    <sheetView workbookViewId="0">
      <selection activeCell="A2" sqref="A2:E7"/>
    </sheetView>
  </sheetViews>
  <sheetFormatPr defaultRowHeight="14.25" x14ac:dyDescent="0.45"/>
  <cols>
    <col min="1" max="1" width="13.59765625" customWidth="1"/>
    <col min="2" max="2" width="22.73046875" customWidth="1"/>
    <col min="3" max="3" width="37.6640625" customWidth="1"/>
    <col min="4" max="4" width="22" customWidth="1"/>
  </cols>
  <sheetData>
    <row r="1" spans="1:4" x14ac:dyDescent="0.45">
      <c r="A1" s="6" t="s">
        <v>77</v>
      </c>
      <c r="B1" s="6" t="s">
        <v>10</v>
      </c>
      <c r="C1" s="6" t="s">
        <v>11</v>
      </c>
      <c r="D1" s="6" t="s">
        <v>36</v>
      </c>
    </row>
    <row r="2" spans="1:4" x14ac:dyDescent="0.45">
      <c r="A2" t="s">
        <v>143</v>
      </c>
      <c r="B2" t="s">
        <v>144</v>
      </c>
      <c r="C2" t="s">
        <v>182</v>
      </c>
      <c r="D2" t="s">
        <v>183</v>
      </c>
    </row>
    <row r="3" spans="1:4" x14ac:dyDescent="0.45">
      <c r="A3" t="s">
        <v>147</v>
      </c>
      <c r="B3" t="s">
        <v>148</v>
      </c>
      <c r="C3" t="s">
        <v>184</v>
      </c>
      <c r="D3" t="s">
        <v>150</v>
      </c>
    </row>
    <row r="4" spans="1:4" x14ac:dyDescent="0.45">
      <c r="A4" t="s">
        <v>151</v>
      </c>
      <c r="B4" t="s">
        <v>152</v>
      </c>
      <c r="C4" t="s">
        <v>185</v>
      </c>
      <c r="D4" t="s">
        <v>186</v>
      </c>
    </row>
    <row r="5" spans="1:4" x14ac:dyDescent="0.45">
      <c r="A5" t="s">
        <v>155</v>
      </c>
      <c r="B5" t="s">
        <v>156</v>
      </c>
      <c r="C5" t="s">
        <v>187</v>
      </c>
      <c r="D5" t="s">
        <v>188</v>
      </c>
    </row>
    <row r="6" spans="1:4" x14ac:dyDescent="0.45">
      <c r="A6" t="s">
        <v>159</v>
      </c>
      <c r="B6" t="s">
        <v>160</v>
      </c>
      <c r="C6" t="s">
        <v>189</v>
      </c>
      <c r="D6" t="s">
        <v>146</v>
      </c>
    </row>
    <row r="7" spans="1:4" x14ac:dyDescent="0.45">
      <c r="A7" t="s">
        <v>162</v>
      </c>
      <c r="B7" t="s">
        <v>163</v>
      </c>
      <c r="C7" t="s">
        <v>164</v>
      </c>
      <c r="D7" t="s">
        <v>190</v>
      </c>
    </row>
  </sheetData>
  <phoneticPr fontId="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"/>
  <sheetViews>
    <sheetView workbookViewId="0">
      <selection activeCell="A2" sqref="A2:E4"/>
    </sheetView>
  </sheetViews>
  <sheetFormatPr defaultRowHeight="14.25" x14ac:dyDescent="0.45"/>
  <cols>
    <col min="2" max="2" width="32.796875" customWidth="1"/>
    <col min="3" max="3" width="43.06640625" customWidth="1"/>
    <col min="4" max="4" width="14.796875" customWidth="1"/>
  </cols>
  <sheetData>
    <row r="1" spans="1:4" x14ac:dyDescent="0.45">
      <c r="A1" s="6" t="s">
        <v>78</v>
      </c>
      <c r="B1" s="6" t="s">
        <v>10</v>
      </c>
      <c r="C1" s="6" t="s">
        <v>11</v>
      </c>
      <c r="D1" s="6" t="s">
        <v>79</v>
      </c>
    </row>
    <row r="2" spans="1:4" x14ac:dyDescent="0.45">
      <c r="A2" t="s">
        <v>167</v>
      </c>
      <c r="B2" t="s">
        <v>191</v>
      </c>
      <c r="C2" t="s">
        <v>169</v>
      </c>
      <c r="D2" t="s">
        <v>170</v>
      </c>
    </row>
    <row r="3" spans="1:4" x14ac:dyDescent="0.45">
      <c r="A3" t="s">
        <v>171</v>
      </c>
      <c r="B3" t="s">
        <v>172</v>
      </c>
      <c r="C3" t="s">
        <v>173</v>
      </c>
      <c r="D3" t="s">
        <v>170</v>
      </c>
    </row>
    <row r="4" spans="1:4" x14ac:dyDescent="0.45">
      <c r="A4" t="s">
        <v>174</v>
      </c>
      <c r="B4" t="s">
        <v>175</v>
      </c>
      <c r="C4" t="s">
        <v>176</v>
      </c>
      <c r="D4" t="s">
        <v>177</v>
      </c>
    </row>
  </sheetData>
  <phoneticPr fontId="3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"/>
  <sheetViews>
    <sheetView workbookViewId="0">
      <pane ySplit="1" topLeftCell="A2" activePane="bottomLeft" state="frozen"/>
      <selection pane="bottomLeft" activeCell="H1" sqref="H1"/>
    </sheetView>
  </sheetViews>
  <sheetFormatPr defaultRowHeight="14.25" x14ac:dyDescent="0.45"/>
  <cols>
    <col min="4" max="4" width="15.9296875" customWidth="1"/>
    <col min="5" max="5" width="17.86328125" customWidth="1"/>
    <col min="6" max="6" width="18.19921875" customWidth="1"/>
    <col min="7" max="7" width="16" customWidth="1"/>
    <col min="8" max="8" width="15" customWidth="1"/>
  </cols>
  <sheetData>
    <row r="1" spans="1:8" x14ac:dyDescent="0.45">
      <c r="A1" s="6" t="s">
        <v>53</v>
      </c>
      <c r="B1" s="6" t="s">
        <v>23</v>
      </c>
      <c r="C1" s="6" t="s">
        <v>65</v>
      </c>
      <c r="D1" s="6" t="s">
        <v>67</v>
      </c>
      <c r="E1" s="6" t="s">
        <v>69</v>
      </c>
      <c r="F1" s="6" t="s">
        <v>80</v>
      </c>
      <c r="G1" s="6" t="s">
        <v>70</v>
      </c>
      <c r="H1" s="6" t="s">
        <v>81</v>
      </c>
    </row>
    <row r="2" spans="1:8" x14ac:dyDescent="0.45">
      <c r="B2" s="7"/>
      <c r="C2" s="7"/>
      <c r="D2" s="7"/>
      <c r="E2" s="7"/>
      <c r="F2" s="7"/>
      <c r="G2" s="7"/>
      <c r="H2" s="7"/>
    </row>
  </sheetData>
  <phoneticPr fontId="3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580"/>
  <sheetViews>
    <sheetView workbookViewId="0">
      <pane ySplit="1" topLeftCell="A551" activePane="bottomLeft" state="frozen"/>
      <selection pane="bottomLeft" activeCell="N569" sqref="N569"/>
    </sheetView>
  </sheetViews>
  <sheetFormatPr defaultRowHeight="14.25" x14ac:dyDescent="0.45"/>
  <cols>
    <col min="8" max="8" width="13" customWidth="1"/>
    <col min="9" max="9" width="16.53125" customWidth="1"/>
    <col min="10" max="10" width="17.53125" customWidth="1"/>
    <col min="11" max="11" width="16.86328125" customWidth="1"/>
    <col min="12" max="12" width="20.6640625" customWidth="1"/>
  </cols>
  <sheetData>
    <row r="1" spans="1:13" x14ac:dyDescent="0.45">
      <c r="A1" s="10" t="s">
        <v>82</v>
      </c>
      <c r="B1" s="10" t="s">
        <v>53</v>
      </c>
      <c r="C1" s="10" t="s">
        <v>23</v>
      </c>
      <c r="D1" s="10" t="s">
        <v>24</v>
      </c>
      <c r="E1" s="10" t="s">
        <v>83</v>
      </c>
      <c r="F1" s="10" t="s">
        <v>84</v>
      </c>
      <c r="G1" s="10" t="s">
        <v>85</v>
      </c>
      <c r="H1" s="10" t="s">
        <v>86</v>
      </c>
      <c r="I1" s="10" t="s">
        <v>87</v>
      </c>
      <c r="J1" s="10" t="s">
        <v>88</v>
      </c>
      <c r="K1" s="10" t="s">
        <v>89</v>
      </c>
      <c r="L1" s="10" t="s">
        <v>90</v>
      </c>
      <c r="M1" s="10" t="s">
        <v>91</v>
      </c>
    </row>
    <row r="2" spans="1:13" x14ac:dyDescent="0.4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x14ac:dyDescent="0.4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4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x14ac:dyDescent="0.4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x14ac:dyDescent="0.4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x14ac:dyDescent="0.4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x14ac:dyDescent="0.4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x14ac:dyDescent="0.4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4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x14ac:dyDescent="0.4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x14ac:dyDescent="0.4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x14ac:dyDescent="0.4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x14ac:dyDescent="0.4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x14ac:dyDescent="0.4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4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x14ac:dyDescent="0.4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4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x14ac:dyDescent="0.4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x14ac:dyDescent="0.4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x14ac:dyDescent="0.4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4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 x14ac:dyDescent="0.4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 x14ac:dyDescent="0.4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 x14ac:dyDescent="0.4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 x14ac:dyDescent="0.4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x14ac:dyDescent="0.4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4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x14ac:dyDescent="0.4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x14ac:dyDescent="0.4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 x14ac:dyDescent="0.4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1:13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1:13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1:13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spans="1:13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1:13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1:13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spans="1:13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1:13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 spans="1:13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</row>
    <row r="66" spans="1:13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</row>
    <row r="67" spans="1:13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</row>
    <row r="68" spans="1:13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spans="1:13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</row>
    <row r="70" spans="1:13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</row>
    <row r="71" spans="1:13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1:13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</row>
    <row r="73" spans="1:13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 spans="1:13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1:13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1:13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1:13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1:13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spans="1:13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1:13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 spans="1:13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1:13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</row>
    <row r="83" spans="1:13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</row>
    <row r="84" spans="1:13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</row>
    <row r="85" spans="1:13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</row>
    <row r="86" spans="1:13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</row>
    <row r="87" spans="1:13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</row>
    <row r="88" spans="1:13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</row>
    <row r="89" spans="1:13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</row>
    <row r="90" spans="1:13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</row>
    <row r="91" spans="1:13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</row>
    <row r="92" spans="1:13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</row>
    <row r="93" spans="1:13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</row>
    <row r="94" spans="1:13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</row>
    <row r="95" spans="1:13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</row>
    <row r="96" spans="1:13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</row>
    <row r="97" spans="1:13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</row>
    <row r="98" spans="1:13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 spans="1:13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 spans="1:13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 spans="1:13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</row>
    <row r="102" spans="1:13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</row>
    <row r="103" spans="1:13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</row>
    <row r="104" spans="1:13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</row>
    <row r="105" spans="1:13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3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3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3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  <row r="109" spans="1:13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</row>
    <row r="110" spans="1:13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</row>
    <row r="111" spans="1:13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</row>
    <row r="112" spans="1:13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</row>
    <row r="113" spans="1:13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</row>
    <row r="114" spans="1:13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</row>
    <row r="115" spans="1:13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</row>
    <row r="116" spans="1:13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</row>
    <row r="117" spans="1:13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 spans="1:13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 spans="1:13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 spans="1:13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</row>
    <row r="121" spans="1:13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</row>
    <row r="122" spans="1:13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</row>
    <row r="123" spans="1:13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</row>
    <row r="124" spans="1:13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</row>
    <row r="125" spans="1:13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</row>
    <row r="126" spans="1:13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</row>
    <row r="127" spans="1:13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</row>
    <row r="128" spans="1:13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</row>
    <row r="129" spans="1:13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</row>
    <row r="130" spans="1:13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</row>
    <row r="131" spans="1:13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</row>
    <row r="132" spans="1:13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</row>
    <row r="133" spans="1:13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</row>
    <row r="134" spans="1:13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</row>
    <row r="135" spans="1:13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 spans="1:13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 spans="1:13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 spans="1:13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 spans="1:13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</row>
    <row r="140" spans="1:13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</row>
    <row r="141" spans="1:13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</row>
    <row r="142" spans="1:13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</row>
    <row r="143" spans="1:13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</row>
    <row r="144" spans="1:13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</row>
    <row r="145" spans="1:13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</row>
    <row r="146" spans="1:13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</row>
    <row r="147" spans="1:13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</row>
    <row r="148" spans="1:13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</row>
    <row r="149" spans="1:13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</row>
    <row r="150" spans="1:13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</row>
    <row r="151" spans="1:13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</row>
    <row r="152" spans="1:13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</row>
    <row r="153" spans="1:13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</row>
    <row r="154" spans="1:13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 spans="1:13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 spans="1:13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 spans="1:13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 spans="1:13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</row>
    <row r="159" spans="1:13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</row>
    <row r="160" spans="1:13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</row>
    <row r="161" spans="1:13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</row>
    <row r="162" spans="1:13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</row>
    <row r="163" spans="1:13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</row>
    <row r="164" spans="1:13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</row>
    <row r="165" spans="1:13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</row>
    <row r="166" spans="1:13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</row>
    <row r="167" spans="1:13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</row>
    <row r="168" spans="1:13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</row>
    <row r="169" spans="1:13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</row>
    <row r="170" spans="1:13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</row>
    <row r="171" spans="1:13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</row>
    <row r="172" spans="1:13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 spans="1:13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 spans="1:13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 spans="1:13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 spans="1:13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 spans="1:13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</row>
    <row r="178" spans="1:13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</row>
    <row r="179" spans="1:13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</row>
    <row r="180" spans="1:13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</row>
    <row r="181" spans="1:13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</row>
    <row r="182" spans="1:13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</row>
    <row r="183" spans="1:13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</row>
    <row r="184" spans="1:13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</row>
    <row r="185" spans="1:13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</row>
    <row r="186" spans="1:13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</row>
    <row r="187" spans="1:13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</row>
    <row r="188" spans="1:13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</row>
    <row r="189" spans="1:13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</row>
    <row r="190" spans="1:13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 spans="1:13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 spans="1:13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 spans="1:13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 spans="1:13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 spans="1:13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 spans="1:13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</row>
    <row r="197" spans="1:13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</row>
    <row r="198" spans="1:13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</row>
    <row r="199" spans="1:13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</row>
    <row r="200" spans="1:13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</row>
    <row r="201" spans="1:13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</row>
    <row r="202" spans="1:13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</row>
    <row r="203" spans="1:13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</row>
    <row r="204" spans="1:13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</row>
    <row r="205" spans="1:13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</row>
    <row r="206" spans="1:13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</row>
    <row r="207" spans="1:13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</row>
    <row r="208" spans="1:13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</row>
    <row r="209" spans="1:13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</row>
    <row r="210" spans="1:13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 spans="1:13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 spans="1:13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 spans="1:13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 spans="1:13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</row>
    <row r="215" spans="1:13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</row>
    <row r="216" spans="1:13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</row>
    <row r="217" spans="1:13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</row>
    <row r="218" spans="1:13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</row>
    <row r="219" spans="1:13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</row>
    <row r="220" spans="1:13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</row>
    <row r="221" spans="1:13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</row>
    <row r="222" spans="1:13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</row>
    <row r="223" spans="1:13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</row>
    <row r="224" spans="1:13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</row>
    <row r="225" spans="1:13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</row>
    <row r="226" spans="1:13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</row>
    <row r="227" spans="1:13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</row>
    <row r="228" spans="1:13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 spans="1:13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 spans="1:13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 spans="1:13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 spans="1:13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 spans="1:13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</row>
    <row r="234" spans="1:13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</row>
    <row r="235" spans="1:13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</row>
    <row r="236" spans="1:13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</row>
    <row r="237" spans="1:13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</row>
    <row r="238" spans="1:13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</row>
    <row r="239" spans="1:13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</row>
    <row r="240" spans="1:13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</row>
    <row r="241" spans="1:13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</row>
    <row r="242" spans="1:13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</row>
    <row r="243" spans="1:13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</row>
    <row r="244" spans="1:13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</row>
    <row r="245" spans="1:13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 spans="1:13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 spans="1:13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 spans="1:13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 spans="1:13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 spans="1:13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 spans="1:13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 spans="1:13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</row>
    <row r="253" spans="1:13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</row>
    <row r="254" spans="1:13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</row>
    <row r="255" spans="1:13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</row>
    <row r="256" spans="1:13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</row>
    <row r="257" spans="1:13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</row>
    <row r="258" spans="1:13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</row>
    <row r="259" spans="1:13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</row>
    <row r="260" spans="1:13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</row>
    <row r="261" spans="1:13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</row>
    <row r="262" spans="1:13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</row>
    <row r="263" spans="1:13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</row>
    <row r="264" spans="1:13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 spans="1:13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 spans="1:13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 spans="1:13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 spans="1:13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 spans="1:13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</row>
    <row r="270" spans="1:13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</row>
    <row r="271" spans="1:13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</row>
    <row r="272" spans="1:13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</row>
    <row r="273" spans="1:13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</row>
    <row r="274" spans="1:13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</row>
    <row r="275" spans="1:13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</row>
    <row r="276" spans="1:13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</row>
    <row r="277" spans="1:13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</row>
    <row r="278" spans="1:13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</row>
    <row r="279" spans="1:13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</row>
    <row r="280" spans="1:13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</row>
    <row r="281" spans="1:13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</row>
    <row r="282" spans="1:13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 spans="1:13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</row>
    <row r="284" spans="1:13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 spans="1:13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 spans="1:13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 spans="1:13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 spans="1:13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</row>
    <row r="289" spans="1:13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</row>
    <row r="290" spans="1:13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</row>
    <row r="291" spans="1:13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</row>
    <row r="292" spans="1:13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</row>
    <row r="293" spans="1:13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</row>
    <row r="294" spans="1:13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</row>
    <row r="295" spans="1:13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</row>
    <row r="296" spans="1:13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</row>
    <row r="297" spans="1:13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</row>
    <row r="298" spans="1:13" x14ac:dyDescent="0.4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</row>
    <row r="299" spans="1:13" x14ac:dyDescent="0.4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</row>
    <row r="300" spans="1:13" x14ac:dyDescent="0.4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</row>
    <row r="301" spans="1:13" x14ac:dyDescent="0.4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 spans="1:13" x14ac:dyDescent="0.4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</row>
    <row r="303" spans="1:13" x14ac:dyDescent="0.4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 spans="1:13" x14ac:dyDescent="0.4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 spans="1:13" x14ac:dyDescent="0.4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 spans="1:13" x14ac:dyDescent="0.4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 spans="1:13" x14ac:dyDescent="0.4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</row>
    <row r="308" spans="1:13" x14ac:dyDescent="0.4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</row>
    <row r="309" spans="1:13" x14ac:dyDescent="0.4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</row>
    <row r="310" spans="1:13" x14ac:dyDescent="0.4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</row>
    <row r="311" spans="1:13" x14ac:dyDescent="0.4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</row>
    <row r="312" spans="1:13" x14ac:dyDescent="0.4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</row>
    <row r="313" spans="1:13" x14ac:dyDescent="0.4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</row>
    <row r="314" spans="1:13" x14ac:dyDescent="0.4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</row>
    <row r="315" spans="1:13" x14ac:dyDescent="0.4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</row>
    <row r="316" spans="1:13" x14ac:dyDescent="0.4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</row>
    <row r="317" spans="1:13" x14ac:dyDescent="0.4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</row>
    <row r="318" spans="1:13" x14ac:dyDescent="0.4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</row>
    <row r="319" spans="1:13" x14ac:dyDescent="0.4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</row>
    <row r="320" spans="1:13" x14ac:dyDescent="0.4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 spans="1:13" x14ac:dyDescent="0.4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 spans="1:13" x14ac:dyDescent="0.4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 spans="1:13" x14ac:dyDescent="0.4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 spans="1:13" x14ac:dyDescent="0.4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 spans="1:13" x14ac:dyDescent="0.4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</row>
    <row r="326" spans="1:13" x14ac:dyDescent="0.4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</row>
    <row r="327" spans="1:13" x14ac:dyDescent="0.4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</row>
    <row r="328" spans="1:13" x14ac:dyDescent="0.4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</row>
    <row r="329" spans="1:13" x14ac:dyDescent="0.4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</row>
    <row r="330" spans="1:13" x14ac:dyDescent="0.4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</row>
    <row r="331" spans="1:13" x14ac:dyDescent="0.4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</row>
    <row r="332" spans="1:13" x14ac:dyDescent="0.4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</row>
    <row r="333" spans="1:13" x14ac:dyDescent="0.4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</row>
    <row r="334" spans="1:13" x14ac:dyDescent="0.4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</row>
    <row r="335" spans="1:13" x14ac:dyDescent="0.4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</row>
    <row r="336" spans="1:13" x14ac:dyDescent="0.4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</row>
    <row r="337" spans="1:13" x14ac:dyDescent="0.4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</row>
    <row r="338" spans="1:13" x14ac:dyDescent="0.4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</row>
    <row r="339" spans="1:13" x14ac:dyDescent="0.4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 spans="1:13" x14ac:dyDescent="0.4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 spans="1:13" x14ac:dyDescent="0.4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 spans="1:13" x14ac:dyDescent="0.4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 spans="1:13" x14ac:dyDescent="0.4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 spans="1:13" x14ac:dyDescent="0.4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</row>
    <row r="345" spans="1:13" x14ac:dyDescent="0.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</row>
    <row r="346" spans="1:13" x14ac:dyDescent="0.4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</row>
    <row r="347" spans="1:13" x14ac:dyDescent="0.4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</row>
    <row r="348" spans="1:13" x14ac:dyDescent="0.4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</row>
    <row r="349" spans="1:13" x14ac:dyDescent="0.4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</row>
    <row r="350" spans="1:13" x14ac:dyDescent="0.4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</row>
    <row r="351" spans="1:13" x14ac:dyDescent="0.4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</row>
    <row r="352" spans="1:13" x14ac:dyDescent="0.4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</row>
    <row r="353" spans="1:13" x14ac:dyDescent="0.4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</row>
    <row r="354" spans="1:13" x14ac:dyDescent="0.4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</row>
    <row r="355" spans="1:13" x14ac:dyDescent="0.4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</row>
    <row r="356" spans="1:13" x14ac:dyDescent="0.4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</row>
    <row r="357" spans="1:13" x14ac:dyDescent="0.4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</row>
    <row r="358" spans="1:13" x14ac:dyDescent="0.4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 spans="1:13" x14ac:dyDescent="0.4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 spans="1:13" x14ac:dyDescent="0.4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 spans="1:13" x14ac:dyDescent="0.4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 spans="1:13" x14ac:dyDescent="0.4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 spans="1:13" x14ac:dyDescent="0.4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</row>
    <row r="364" spans="1:13" x14ac:dyDescent="0.4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</row>
    <row r="365" spans="1:13" x14ac:dyDescent="0.4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</row>
    <row r="366" spans="1:13" x14ac:dyDescent="0.4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</row>
    <row r="367" spans="1:13" x14ac:dyDescent="0.4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</row>
    <row r="368" spans="1:13" x14ac:dyDescent="0.4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</row>
    <row r="369" spans="1:13" x14ac:dyDescent="0.4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</row>
    <row r="370" spans="1:13" x14ac:dyDescent="0.4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</row>
    <row r="371" spans="1:13" x14ac:dyDescent="0.4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</row>
    <row r="372" spans="1:13" x14ac:dyDescent="0.4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</row>
    <row r="373" spans="1:13" x14ac:dyDescent="0.4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</row>
    <row r="374" spans="1:13" x14ac:dyDescent="0.4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</row>
    <row r="375" spans="1:13" x14ac:dyDescent="0.4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</row>
    <row r="376" spans="1:13" x14ac:dyDescent="0.4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</row>
    <row r="377" spans="1:13" x14ac:dyDescent="0.4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</row>
    <row r="378" spans="1:13" x14ac:dyDescent="0.4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</row>
    <row r="379" spans="1:13" x14ac:dyDescent="0.4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</row>
    <row r="380" spans="1:13" x14ac:dyDescent="0.4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</row>
    <row r="381" spans="1:13" x14ac:dyDescent="0.4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</row>
    <row r="382" spans="1:13" x14ac:dyDescent="0.4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</row>
    <row r="383" spans="1:13" x14ac:dyDescent="0.4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</row>
    <row r="384" spans="1:13" x14ac:dyDescent="0.4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</row>
    <row r="385" spans="1:13" x14ac:dyDescent="0.4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</row>
    <row r="386" spans="1:13" x14ac:dyDescent="0.4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</row>
    <row r="387" spans="1:13" x14ac:dyDescent="0.4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</row>
    <row r="388" spans="1:13" x14ac:dyDescent="0.4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</row>
    <row r="389" spans="1:13" x14ac:dyDescent="0.4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</row>
    <row r="390" spans="1:13" x14ac:dyDescent="0.4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</row>
    <row r="391" spans="1:13" x14ac:dyDescent="0.4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</row>
    <row r="392" spans="1:13" x14ac:dyDescent="0.4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</row>
    <row r="393" spans="1:13" x14ac:dyDescent="0.4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</row>
    <row r="394" spans="1:13" x14ac:dyDescent="0.4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</row>
    <row r="395" spans="1:13" x14ac:dyDescent="0.4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</row>
    <row r="396" spans="1:13" x14ac:dyDescent="0.4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</row>
    <row r="397" spans="1:13" x14ac:dyDescent="0.4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</row>
    <row r="398" spans="1:13" x14ac:dyDescent="0.4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</row>
    <row r="399" spans="1:13" x14ac:dyDescent="0.4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</row>
    <row r="400" spans="1:13" x14ac:dyDescent="0.4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</row>
    <row r="401" spans="1:13" x14ac:dyDescent="0.4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</row>
    <row r="402" spans="1:13" x14ac:dyDescent="0.4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</row>
    <row r="403" spans="1:13" x14ac:dyDescent="0.4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</row>
    <row r="404" spans="1:13" x14ac:dyDescent="0.4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</row>
    <row r="405" spans="1:13" x14ac:dyDescent="0.4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</row>
    <row r="406" spans="1:13" x14ac:dyDescent="0.4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</row>
    <row r="407" spans="1:13" x14ac:dyDescent="0.4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</row>
    <row r="408" spans="1:13" x14ac:dyDescent="0.4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</row>
    <row r="409" spans="1:13" x14ac:dyDescent="0.4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</row>
    <row r="410" spans="1:13" x14ac:dyDescent="0.4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</row>
    <row r="411" spans="1:13" x14ac:dyDescent="0.4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</row>
    <row r="412" spans="1:13" x14ac:dyDescent="0.4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</row>
    <row r="413" spans="1:13" x14ac:dyDescent="0.4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</row>
    <row r="414" spans="1:13" x14ac:dyDescent="0.4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</row>
    <row r="415" spans="1:13" x14ac:dyDescent="0.4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</row>
    <row r="416" spans="1:13" x14ac:dyDescent="0.4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</row>
    <row r="417" spans="1:13" x14ac:dyDescent="0.4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</row>
    <row r="418" spans="1:13" x14ac:dyDescent="0.4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</row>
    <row r="419" spans="1:13" x14ac:dyDescent="0.4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</row>
    <row r="420" spans="1:13" x14ac:dyDescent="0.4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</row>
    <row r="421" spans="1:13" x14ac:dyDescent="0.4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</row>
    <row r="422" spans="1:13" x14ac:dyDescent="0.4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</row>
    <row r="423" spans="1:13" x14ac:dyDescent="0.4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</row>
    <row r="424" spans="1:13" x14ac:dyDescent="0.4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</row>
    <row r="425" spans="1:13" x14ac:dyDescent="0.4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</row>
    <row r="426" spans="1:13" x14ac:dyDescent="0.4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</row>
    <row r="427" spans="1:13" x14ac:dyDescent="0.4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</row>
    <row r="428" spans="1:13" x14ac:dyDescent="0.4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</row>
    <row r="429" spans="1:13" x14ac:dyDescent="0.4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</row>
    <row r="430" spans="1:13" x14ac:dyDescent="0.4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</row>
    <row r="431" spans="1:13" x14ac:dyDescent="0.4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</row>
    <row r="432" spans="1:13" x14ac:dyDescent="0.4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</row>
    <row r="433" spans="1:13" x14ac:dyDescent="0.4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</row>
    <row r="434" spans="1:13" x14ac:dyDescent="0.4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</row>
    <row r="435" spans="1:13" x14ac:dyDescent="0.4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</row>
    <row r="436" spans="1:13" x14ac:dyDescent="0.4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</row>
    <row r="437" spans="1:13" x14ac:dyDescent="0.4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</row>
    <row r="438" spans="1:13" x14ac:dyDescent="0.4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</row>
    <row r="439" spans="1:13" x14ac:dyDescent="0.4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</row>
    <row r="440" spans="1:13" x14ac:dyDescent="0.4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</row>
    <row r="441" spans="1:13" x14ac:dyDescent="0.4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</row>
    <row r="442" spans="1:13" x14ac:dyDescent="0.4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</row>
    <row r="443" spans="1:13" x14ac:dyDescent="0.4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</row>
    <row r="444" spans="1:13" x14ac:dyDescent="0.4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</row>
    <row r="445" spans="1:13" x14ac:dyDescent="0.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</row>
    <row r="446" spans="1:13" x14ac:dyDescent="0.4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</row>
    <row r="447" spans="1:13" x14ac:dyDescent="0.4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</row>
    <row r="448" spans="1:13" x14ac:dyDescent="0.4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</row>
    <row r="449" spans="1:13" x14ac:dyDescent="0.4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</row>
    <row r="450" spans="1:13" x14ac:dyDescent="0.4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</row>
    <row r="451" spans="1:13" x14ac:dyDescent="0.4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</row>
    <row r="452" spans="1:13" x14ac:dyDescent="0.4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</row>
    <row r="453" spans="1:13" x14ac:dyDescent="0.4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</row>
    <row r="454" spans="1:13" x14ac:dyDescent="0.4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</row>
    <row r="455" spans="1:13" x14ac:dyDescent="0.4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</row>
    <row r="456" spans="1:13" x14ac:dyDescent="0.4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</row>
    <row r="457" spans="1:13" x14ac:dyDescent="0.4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</row>
    <row r="458" spans="1:13" x14ac:dyDescent="0.4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</row>
    <row r="459" spans="1:13" x14ac:dyDescent="0.4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</row>
    <row r="460" spans="1:13" x14ac:dyDescent="0.4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</row>
    <row r="461" spans="1:13" x14ac:dyDescent="0.4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</row>
    <row r="462" spans="1:13" x14ac:dyDescent="0.4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</row>
    <row r="463" spans="1:13" x14ac:dyDescent="0.4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</row>
    <row r="464" spans="1:13" x14ac:dyDescent="0.4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</row>
    <row r="465" spans="1:13" x14ac:dyDescent="0.4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</row>
    <row r="466" spans="1:13" x14ac:dyDescent="0.4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</row>
    <row r="467" spans="1:13" x14ac:dyDescent="0.4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</row>
    <row r="468" spans="1:13" x14ac:dyDescent="0.4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</row>
    <row r="469" spans="1:13" x14ac:dyDescent="0.4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</row>
    <row r="470" spans="1:13" x14ac:dyDescent="0.4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</row>
    <row r="471" spans="1:13" x14ac:dyDescent="0.4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</row>
    <row r="472" spans="1:13" x14ac:dyDescent="0.4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</row>
    <row r="473" spans="1:13" x14ac:dyDescent="0.4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</row>
    <row r="474" spans="1:13" x14ac:dyDescent="0.4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</row>
    <row r="475" spans="1:13" x14ac:dyDescent="0.4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</row>
    <row r="476" spans="1:13" x14ac:dyDescent="0.4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</row>
    <row r="477" spans="1:13" x14ac:dyDescent="0.4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</row>
    <row r="478" spans="1:13" x14ac:dyDescent="0.4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</row>
    <row r="479" spans="1:13" x14ac:dyDescent="0.4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</row>
    <row r="480" spans="1:13" x14ac:dyDescent="0.4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</row>
    <row r="481" spans="1:13" x14ac:dyDescent="0.4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</row>
    <row r="482" spans="1:13" x14ac:dyDescent="0.4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</row>
    <row r="483" spans="1:13" x14ac:dyDescent="0.4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</row>
    <row r="484" spans="1:13" x14ac:dyDescent="0.4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</row>
    <row r="485" spans="1:13" x14ac:dyDescent="0.4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</row>
    <row r="486" spans="1:13" x14ac:dyDescent="0.4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</row>
    <row r="487" spans="1:13" x14ac:dyDescent="0.4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</row>
    <row r="488" spans="1:13" x14ac:dyDescent="0.4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</row>
    <row r="489" spans="1:13" x14ac:dyDescent="0.4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</row>
    <row r="490" spans="1:13" x14ac:dyDescent="0.4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</row>
    <row r="491" spans="1:13" x14ac:dyDescent="0.4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</row>
    <row r="492" spans="1:13" x14ac:dyDescent="0.4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</row>
    <row r="493" spans="1:13" x14ac:dyDescent="0.4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</row>
    <row r="494" spans="1:13" x14ac:dyDescent="0.4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</row>
    <row r="495" spans="1:13" x14ac:dyDescent="0.4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</row>
    <row r="496" spans="1:13" x14ac:dyDescent="0.4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</row>
    <row r="497" spans="1:13" x14ac:dyDescent="0.4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</row>
    <row r="498" spans="1:13" x14ac:dyDescent="0.4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</row>
    <row r="499" spans="1:13" x14ac:dyDescent="0.4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</row>
    <row r="500" spans="1:13" x14ac:dyDescent="0.4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</row>
    <row r="501" spans="1:13" x14ac:dyDescent="0.4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</row>
    <row r="502" spans="1:13" x14ac:dyDescent="0.4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</row>
    <row r="503" spans="1:13" x14ac:dyDescent="0.4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</row>
    <row r="504" spans="1:13" x14ac:dyDescent="0.4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</row>
    <row r="505" spans="1:13" x14ac:dyDescent="0.4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</row>
    <row r="506" spans="1:13" x14ac:dyDescent="0.4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</row>
    <row r="507" spans="1:13" x14ac:dyDescent="0.4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</row>
    <row r="508" spans="1:13" x14ac:dyDescent="0.4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</row>
    <row r="509" spans="1:13" x14ac:dyDescent="0.4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</row>
    <row r="510" spans="1:13" x14ac:dyDescent="0.4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</row>
    <row r="511" spans="1:13" x14ac:dyDescent="0.4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</row>
    <row r="512" spans="1:13" x14ac:dyDescent="0.4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</row>
    <row r="513" spans="1:13" x14ac:dyDescent="0.4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</row>
    <row r="514" spans="1:13" x14ac:dyDescent="0.4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</row>
    <row r="515" spans="1:13" x14ac:dyDescent="0.4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</row>
    <row r="516" spans="1:13" x14ac:dyDescent="0.4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</row>
    <row r="517" spans="1:13" x14ac:dyDescent="0.4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</row>
    <row r="518" spans="1:13" x14ac:dyDescent="0.4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</row>
    <row r="519" spans="1:13" x14ac:dyDescent="0.4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</row>
    <row r="520" spans="1:13" x14ac:dyDescent="0.4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</row>
    <row r="521" spans="1:13" x14ac:dyDescent="0.4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</row>
    <row r="522" spans="1:13" x14ac:dyDescent="0.4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</row>
    <row r="523" spans="1:13" x14ac:dyDescent="0.4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</row>
    <row r="524" spans="1:13" x14ac:dyDescent="0.4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</row>
    <row r="525" spans="1:13" x14ac:dyDescent="0.4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</row>
    <row r="526" spans="1:13" x14ac:dyDescent="0.4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</row>
    <row r="527" spans="1:13" x14ac:dyDescent="0.4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</row>
    <row r="528" spans="1:13" x14ac:dyDescent="0.4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</row>
    <row r="529" spans="1:13" x14ac:dyDescent="0.4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</row>
    <row r="530" spans="1:13" x14ac:dyDescent="0.4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</row>
    <row r="531" spans="1:13" x14ac:dyDescent="0.4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</row>
    <row r="532" spans="1:13" x14ac:dyDescent="0.4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</row>
    <row r="533" spans="1:13" x14ac:dyDescent="0.4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</row>
    <row r="534" spans="1:13" x14ac:dyDescent="0.4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</row>
    <row r="535" spans="1:13" x14ac:dyDescent="0.4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</row>
    <row r="536" spans="1:13" x14ac:dyDescent="0.4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</row>
    <row r="537" spans="1:13" x14ac:dyDescent="0.4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</row>
    <row r="538" spans="1:13" x14ac:dyDescent="0.4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</row>
    <row r="539" spans="1:13" x14ac:dyDescent="0.4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</row>
    <row r="540" spans="1:13" x14ac:dyDescent="0.4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</row>
    <row r="541" spans="1:13" x14ac:dyDescent="0.4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</row>
    <row r="542" spans="1:13" x14ac:dyDescent="0.4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</row>
    <row r="543" spans="1:13" x14ac:dyDescent="0.4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</row>
    <row r="544" spans="1:13" x14ac:dyDescent="0.4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</row>
    <row r="545" spans="1:13" x14ac:dyDescent="0.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</row>
    <row r="546" spans="1:13" x14ac:dyDescent="0.4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</row>
    <row r="547" spans="1:13" x14ac:dyDescent="0.4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</row>
    <row r="548" spans="1:13" x14ac:dyDescent="0.4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</row>
    <row r="549" spans="1:13" x14ac:dyDescent="0.4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</row>
    <row r="550" spans="1:13" x14ac:dyDescent="0.4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</row>
    <row r="551" spans="1:13" x14ac:dyDescent="0.4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</row>
    <row r="552" spans="1:13" x14ac:dyDescent="0.4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</row>
    <row r="553" spans="1:13" x14ac:dyDescent="0.4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</row>
    <row r="554" spans="1:13" x14ac:dyDescent="0.4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</row>
    <row r="555" spans="1:13" x14ac:dyDescent="0.4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</row>
    <row r="556" spans="1:13" x14ac:dyDescent="0.4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</row>
    <row r="557" spans="1:13" x14ac:dyDescent="0.4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</row>
    <row r="558" spans="1:13" x14ac:dyDescent="0.4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</row>
    <row r="559" spans="1:13" x14ac:dyDescent="0.4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</row>
    <row r="560" spans="1:13" x14ac:dyDescent="0.4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</row>
    <row r="561" spans="1:13" x14ac:dyDescent="0.4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</row>
    <row r="562" spans="1:13" x14ac:dyDescent="0.4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</row>
    <row r="563" spans="1:13" x14ac:dyDescent="0.4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</row>
    <row r="564" spans="1:13" x14ac:dyDescent="0.4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</row>
    <row r="565" spans="1:13" x14ac:dyDescent="0.4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</row>
    <row r="566" spans="1:13" x14ac:dyDescent="0.4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</row>
    <row r="567" spans="1:13" x14ac:dyDescent="0.4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</row>
    <row r="568" spans="1:13" x14ac:dyDescent="0.4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</row>
    <row r="569" spans="1:13" x14ac:dyDescent="0.4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</row>
    <row r="570" spans="1:13" x14ac:dyDescent="0.4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</row>
    <row r="571" spans="1:13" x14ac:dyDescent="0.4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</row>
    <row r="572" spans="1:13" x14ac:dyDescent="0.4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</row>
    <row r="573" spans="1:13" x14ac:dyDescent="0.4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</row>
    <row r="574" spans="1:13" x14ac:dyDescent="0.4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</row>
    <row r="575" spans="1:13" x14ac:dyDescent="0.4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</row>
    <row r="576" spans="1:13" x14ac:dyDescent="0.4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</row>
    <row r="577" spans="1:13" x14ac:dyDescent="0.4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</row>
    <row r="578" spans="1:13" x14ac:dyDescent="0.4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</row>
    <row r="579" spans="1:13" x14ac:dyDescent="0.4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</row>
    <row r="580" spans="1:13" x14ac:dyDescent="0.4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</row>
  </sheetData>
  <phoneticPr fontId="3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1"/>
  <sheetViews>
    <sheetView workbookViewId="0">
      <selection activeCell="F26" sqref="F26"/>
    </sheetView>
  </sheetViews>
  <sheetFormatPr defaultRowHeight="14.25" x14ac:dyDescent="0.45"/>
  <cols>
    <col min="1" max="2" width="9.06640625" style="7" customWidth="1"/>
    <col min="3" max="3" width="9.53125" style="7" customWidth="1"/>
    <col min="4" max="4" width="9.06640625" style="7" customWidth="1"/>
    <col min="5" max="16384" width="9.06640625" style="7"/>
  </cols>
  <sheetData>
    <row r="1" spans="1:32" x14ac:dyDescent="0.45">
      <c r="A1" s="10" t="s">
        <v>92</v>
      </c>
      <c r="B1" s="10" t="s">
        <v>93</v>
      </c>
      <c r="C1" s="10" t="s">
        <v>94</v>
      </c>
      <c r="D1" s="10" t="s">
        <v>95</v>
      </c>
      <c r="E1" s="10" t="s">
        <v>96</v>
      </c>
      <c r="F1" s="10" t="s">
        <v>97</v>
      </c>
      <c r="G1" s="10" t="s">
        <v>98</v>
      </c>
      <c r="H1" s="10" t="s">
        <v>99</v>
      </c>
      <c r="I1" s="10" t="s">
        <v>100</v>
      </c>
      <c r="J1" s="10" t="s">
        <v>101</v>
      </c>
      <c r="K1" s="10" t="s">
        <v>102</v>
      </c>
      <c r="L1" s="10" t="s">
        <v>103</v>
      </c>
      <c r="M1" s="10" t="s">
        <v>104</v>
      </c>
      <c r="N1" s="10" t="s">
        <v>105</v>
      </c>
      <c r="O1" s="10" t="s">
        <v>106</v>
      </c>
      <c r="P1" s="10" t="s">
        <v>107</v>
      </c>
      <c r="Q1" s="10" t="s">
        <v>108</v>
      </c>
      <c r="R1" s="10" t="s">
        <v>109</v>
      </c>
      <c r="S1" s="10" t="s">
        <v>110</v>
      </c>
      <c r="T1" s="10" t="s">
        <v>111</v>
      </c>
      <c r="U1" s="10" t="s">
        <v>112</v>
      </c>
      <c r="V1" s="10" t="s">
        <v>113</v>
      </c>
      <c r="W1" s="10" t="s">
        <v>114</v>
      </c>
      <c r="X1" s="10" t="s">
        <v>115</v>
      </c>
      <c r="Y1" s="10" t="s">
        <v>116</v>
      </c>
      <c r="Z1" s="10" t="s">
        <v>117</v>
      </c>
      <c r="AA1" s="10" t="s">
        <v>118</v>
      </c>
      <c r="AB1" s="10" t="s">
        <v>119</v>
      </c>
      <c r="AC1" s="10" t="s">
        <v>120</v>
      </c>
      <c r="AD1" s="10" t="s">
        <v>121</v>
      </c>
      <c r="AE1" s="10" t="s">
        <v>122</v>
      </c>
      <c r="AF1" s="10" t="s">
        <v>123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README</vt:lpstr>
      <vt:lpstr>Inputs</vt:lpstr>
      <vt:lpstr>Codebook</vt:lpstr>
      <vt:lpstr>GestureEvents</vt:lpstr>
      <vt:lpstr>StructuralPoints</vt:lpstr>
      <vt:lpstr>Alignment</vt:lpstr>
      <vt:lpstr>Methods</vt:lpstr>
      <vt:lpstr>Robustness</vt:lpstr>
      <vt:lpstr>Macro_codes</vt:lpstr>
      <vt:lpstr>Micro_codes</vt:lpstr>
      <vt:lpstr>KEEP_rules</vt:lpstr>
      <vt:lpstr>Summary</vt:lpstr>
      <vt:lpstr>DebugMissing</vt:lpstr>
      <vt:lpstr>WristTracks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Gefei</dc:creator>
  <cp:lastModifiedBy>Liu Gefei</cp:lastModifiedBy>
  <dcterms:created xsi:type="dcterms:W3CDTF">2026-01-06T10:53:31Z</dcterms:created>
  <dcterms:modified xsi:type="dcterms:W3CDTF">2026-01-09T12:53:47Z</dcterms:modified>
</cp:coreProperties>
</file>